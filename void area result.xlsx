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7f5811447c8db37/Documents/GitHub/Ultrashort-pulse-laser-microtexturing-of-printed-circuit-board-copper-pads/"/>
    </mc:Choice>
  </mc:AlternateContent>
  <xr:revisionPtr revIDLastSave="1153" documentId="11_AD4D066CA252ABDACC1048547190F7C872EEDF52" xr6:coauthVersionLast="47" xr6:coauthVersionMax="47" xr10:uidLastSave="{D10AC76C-1437-432B-96B8-0BE8FC659FC6}"/>
  <bookViews>
    <workbookView xWindow="-90" yWindow="0" windowWidth="19380" windowHeight="20970" xr2:uid="{00000000-000D-0000-FFFF-FFFF00000000}"/>
  </bookViews>
  <sheets>
    <sheet name="All" sheetId="14" r:id="rId1"/>
    <sheet name="Board-1" sheetId="3" r:id="rId2"/>
    <sheet name="Board-2" sheetId="7" r:id="rId3"/>
    <sheet name="Board-3" sheetId="9" r:id="rId4"/>
    <sheet name="Board-4" sheetId="10" r:id="rId5"/>
    <sheet name="Board-5" sheetId="11" r:id="rId6"/>
    <sheet name="Board-6" sheetId="12" r:id="rId7"/>
  </sheets>
  <definedNames>
    <definedName name="_xlnm._FilterDatabase" localSheetId="0" hidden="1">All!$C$1:$E$488</definedName>
    <definedName name="_xlnm._FilterDatabase" localSheetId="1" hidden="1">'Board-1'!$B$1:$E$82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5" i="14" l="1"/>
  <c r="F488" i="14"/>
  <c r="G3" i="14"/>
  <c r="N5" i="14"/>
  <c r="N3" i="14"/>
  <c r="N6" i="14"/>
  <c r="N4" i="14"/>
  <c r="N7" i="14"/>
  <c r="N8" i="14"/>
  <c r="N9" i="14"/>
  <c r="N10" i="14"/>
  <c r="N13" i="14"/>
  <c r="N14" i="14"/>
  <c r="N11" i="14"/>
  <c r="N12" i="14"/>
  <c r="N15" i="14"/>
  <c r="N16" i="14"/>
  <c r="N2" i="14"/>
  <c r="G4" i="14"/>
  <c r="G5" i="14"/>
  <c r="G6" i="14"/>
  <c r="G7" i="14"/>
  <c r="G8" i="14"/>
  <c r="G9" i="14"/>
  <c r="G12" i="14"/>
  <c r="G13" i="14"/>
  <c r="G15" i="14"/>
  <c r="G16" i="14"/>
  <c r="G17" i="14"/>
  <c r="G18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88" i="14"/>
  <c r="G89" i="14"/>
  <c r="G90" i="14"/>
  <c r="G91" i="14"/>
  <c r="G92" i="14"/>
  <c r="G94" i="14"/>
  <c r="G96" i="14"/>
  <c r="G97" i="14"/>
  <c r="G98" i="14"/>
  <c r="G99" i="14"/>
  <c r="G100" i="14"/>
  <c r="G101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5" i="14"/>
  <c r="G146" i="14"/>
  <c r="G147" i="14"/>
  <c r="G148" i="14"/>
  <c r="G149" i="14"/>
  <c r="G150" i="14"/>
  <c r="G151" i="14"/>
  <c r="G152" i="14"/>
  <c r="G153" i="14"/>
  <c r="G154" i="14"/>
  <c r="G156" i="14"/>
  <c r="G157" i="14"/>
  <c r="G158" i="14"/>
  <c r="G159" i="14"/>
  <c r="G160" i="14"/>
  <c r="G161" i="14"/>
  <c r="G162" i="14"/>
  <c r="G163" i="14"/>
  <c r="G166" i="14"/>
  <c r="G167" i="14"/>
  <c r="G168" i="14"/>
  <c r="G169" i="14"/>
  <c r="G170" i="14"/>
  <c r="G171" i="14"/>
  <c r="G172" i="14"/>
  <c r="G173" i="14"/>
  <c r="G174" i="14"/>
  <c r="G175" i="14"/>
  <c r="G176" i="14"/>
  <c r="G177" i="14"/>
  <c r="G178" i="14"/>
  <c r="G179" i="14"/>
  <c r="G180" i="14"/>
  <c r="G181" i="14"/>
  <c r="G182" i="14"/>
  <c r="G183" i="14"/>
  <c r="G184" i="14"/>
  <c r="G185" i="14"/>
  <c r="G186" i="14"/>
  <c r="G187" i="14"/>
  <c r="G188" i="14"/>
  <c r="G189" i="14"/>
  <c r="G190" i="14"/>
  <c r="G191" i="14"/>
  <c r="G192" i="14"/>
  <c r="G193" i="14"/>
  <c r="G194" i="14"/>
  <c r="G195" i="14"/>
  <c r="G196" i="14"/>
  <c r="G197" i="14"/>
  <c r="G198" i="14"/>
  <c r="G199" i="14"/>
  <c r="G200" i="14"/>
  <c r="G201" i="14"/>
  <c r="G202" i="14"/>
  <c r="G203" i="14"/>
  <c r="G204" i="14"/>
  <c r="G205" i="14"/>
  <c r="G206" i="14"/>
  <c r="G207" i="14"/>
  <c r="G208" i="14"/>
  <c r="G209" i="14"/>
  <c r="G210" i="14"/>
  <c r="G211" i="14"/>
  <c r="G214" i="14"/>
  <c r="G215" i="14"/>
  <c r="G216" i="14"/>
  <c r="G217" i="14"/>
  <c r="G218" i="14"/>
  <c r="G219" i="14"/>
  <c r="G220" i="14"/>
  <c r="G221" i="14"/>
  <c r="G222" i="14"/>
  <c r="G223" i="14"/>
  <c r="G224" i="14"/>
  <c r="G225" i="14"/>
  <c r="G226" i="14"/>
  <c r="G227" i="14"/>
  <c r="G228" i="14"/>
  <c r="G229" i="14"/>
  <c r="G230" i="14"/>
  <c r="G231" i="14"/>
  <c r="G232" i="14"/>
  <c r="G233" i="14"/>
  <c r="G234" i="14"/>
  <c r="G235" i="14"/>
  <c r="G236" i="14"/>
  <c r="G237" i="14"/>
  <c r="G238" i="14"/>
  <c r="G239" i="14"/>
  <c r="G240" i="14"/>
  <c r="G241" i="14"/>
  <c r="G242" i="14"/>
  <c r="G243" i="14"/>
  <c r="G244" i="14"/>
  <c r="G245" i="14"/>
  <c r="G246" i="14"/>
  <c r="G247" i="14"/>
  <c r="G248" i="14"/>
  <c r="G249" i="14"/>
  <c r="G250" i="14"/>
  <c r="G251" i="14"/>
  <c r="G252" i="14"/>
  <c r="G253" i="14"/>
  <c r="G254" i="14"/>
  <c r="G255" i="14"/>
  <c r="G256" i="14"/>
  <c r="G257" i="14"/>
  <c r="G258" i="14"/>
  <c r="G259" i="14"/>
  <c r="G260" i="14"/>
  <c r="G261" i="14"/>
  <c r="G262" i="14"/>
  <c r="G263" i="14"/>
  <c r="G264" i="14"/>
  <c r="G265" i="14"/>
  <c r="G266" i="14"/>
  <c r="G267" i="14"/>
  <c r="G268" i="14"/>
  <c r="G269" i="14"/>
  <c r="G270" i="14"/>
  <c r="G271" i="14"/>
  <c r="G272" i="14"/>
  <c r="G273" i="14"/>
  <c r="G274" i="14"/>
  <c r="G275" i="14"/>
  <c r="G276" i="14"/>
  <c r="G277" i="14"/>
  <c r="G278" i="14"/>
  <c r="G279" i="14"/>
  <c r="G280" i="14"/>
  <c r="G281" i="14"/>
  <c r="G282" i="14"/>
  <c r="G283" i="14"/>
  <c r="G284" i="14"/>
  <c r="G285" i="14"/>
  <c r="G286" i="14"/>
  <c r="G287" i="14"/>
  <c r="G288" i="14"/>
  <c r="G289" i="14"/>
  <c r="G290" i="14"/>
  <c r="G291" i="14"/>
  <c r="G292" i="14"/>
  <c r="G293" i="14"/>
  <c r="G294" i="14"/>
  <c r="G295" i="14"/>
  <c r="G296" i="14"/>
  <c r="G297" i="14"/>
  <c r="G298" i="14"/>
  <c r="G299" i="14"/>
  <c r="G300" i="14"/>
  <c r="G301" i="14"/>
  <c r="G302" i="14"/>
  <c r="G303" i="14"/>
  <c r="G304" i="14"/>
  <c r="G305" i="14"/>
  <c r="G306" i="14"/>
  <c r="G307" i="14"/>
  <c r="G308" i="14"/>
  <c r="G309" i="14"/>
  <c r="G310" i="14"/>
  <c r="G312" i="14"/>
  <c r="G313" i="14"/>
  <c r="G314" i="14"/>
  <c r="G315" i="14"/>
  <c r="G316" i="14"/>
  <c r="G317" i="14"/>
  <c r="G318" i="14"/>
  <c r="G319" i="14"/>
  <c r="G320" i="14"/>
  <c r="G322" i="14"/>
  <c r="G323" i="14"/>
  <c r="G324" i="14"/>
  <c r="G325" i="14"/>
  <c r="G326" i="14"/>
  <c r="G327" i="14"/>
  <c r="G328" i="14"/>
  <c r="G329" i="14"/>
  <c r="G330" i="14"/>
  <c r="G331" i="14"/>
  <c r="G332" i="14"/>
  <c r="G333" i="14"/>
  <c r="G334" i="14"/>
  <c r="G335" i="14"/>
  <c r="G336" i="14"/>
  <c r="G337" i="14"/>
  <c r="G338" i="14"/>
  <c r="G339" i="14"/>
  <c r="G340" i="14"/>
  <c r="G341" i="14"/>
  <c r="G342" i="14"/>
  <c r="G343" i="14"/>
  <c r="G344" i="14"/>
  <c r="G345" i="14"/>
  <c r="G346" i="14"/>
  <c r="G347" i="14"/>
  <c r="G348" i="14"/>
  <c r="G349" i="14"/>
  <c r="G350" i="14"/>
  <c r="G351" i="14"/>
  <c r="G352" i="14"/>
  <c r="G353" i="14"/>
  <c r="G354" i="14"/>
  <c r="G355" i="14"/>
  <c r="G356" i="14"/>
  <c r="G357" i="14"/>
  <c r="G358" i="14"/>
  <c r="G359" i="14"/>
  <c r="G360" i="14"/>
  <c r="G361" i="14"/>
  <c r="G362" i="14"/>
  <c r="G363" i="14"/>
  <c r="G364" i="14"/>
  <c r="G365" i="14"/>
  <c r="G366" i="14"/>
  <c r="G367" i="14"/>
  <c r="G368" i="14"/>
  <c r="G369" i="14"/>
  <c r="G370" i="14"/>
  <c r="G372" i="14"/>
  <c r="G373" i="14"/>
  <c r="G374" i="14"/>
  <c r="G375" i="14"/>
  <c r="G376" i="14"/>
  <c r="G377" i="14"/>
  <c r="G378" i="14"/>
  <c r="G379" i="14"/>
  <c r="G380" i="14"/>
  <c r="G381" i="14"/>
  <c r="G382" i="14"/>
  <c r="G383" i="14"/>
  <c r="G384" i="14"/>
  <c r="G386" i="14"/>
  <c r="G387" i="14"/>
  <c r="G388" i="14"/>
  <c r="G389" i="14"/>
  <c r="G390" i="14"/>
  <c r="G391" i="14"/>
  <c r="G392" i="14"/>
  <c r="G393" i="14"/>
  <c r="G394" i="14"/>
  <c r="G395" i="14"/>
  <c r="G396" i="14"/>
  <c r="G397" i="14"/>
  <c r="G398" i="14"/>
  <c r="G399" i="14"/>
  <c r="G400" i="14"/>
  <c r="G401" i="14"/>
  <c r="G402" i="14"/>
  <c r="G403" i="14"/>
  <c r="G404" i="14"/>
  <c r="G405" i="14"/>
  <c r="G406" i="14"/>
  <c r="G407" i="14"/>
  <c r="G408" i="14"/>
  <c r="G409" i="14"/>
  <c r="G410" i="14"/>
  <c r="G411" i="14"/>
  <c r="G412" i="14"/>
  <c r="G413" i="14"/>
  <c r="G414" i="14"/>
  <c r="G415" i="14"/>
  <c r="G416" i="14"/>
  <c r="G417" i="14"/>
  <c r="G418" i="14"/>
  <c r="G419" i="14"/>
  <c r="G420" i="14"/>
  <c r="G421" i="14"/>
  <c r="G422" i="14"/>
  <c r="G423" i="14"/>
  <c r="G424" i="14"/>
  <c r="G425" i="14"/>
  <c r="G426" i="14"/>
  <c r="G427" i="14"/>
  <c r="G428" i="14"/>
  <c r="G429" i="14"/>
  <c r="G430" i="14"/>
  <c r="G431" i="14"/>
  <c r="G432" i="14"/>
  <c r="G433" i="14"/>
  <c r="G434" i="14"/>
  <c r="G435" i="14"/>
  <c r="G436" i="14"/>
  <c r="G437" i="14"/>
  <c r="G438" i="14"/>
  <c r="G439" i="14"/>
  <c r="G440" i="14"/>
  <c r="G441" i="14"/>
  <c r="G442" i="14"/>
  <c r="G443" i="14"/>
  <c r="G444" i="14"/>
  <c r="G445" i="14"/>
  <c r="G446" i="14"/>
  <c r="G447" i="14"/>
  <c r="G448" i="14"/>
  <c r="G449" i="14"/>
  <c r="G450" i="14"/>
  <c r="G451" i="14"/>
  <c r="G452" i="14"/>
  <c r="G453" i="14"/>
  <c r="G454" i="14"/>
  <c r="G455" i="14"/>
  <c r="G456" i="14"/>
  <c r="G457" i="14"/>
  <c r="G458" i="14"/>
  <c r="G459" i="14"/>
  <c r="G460" i="14"/>
  <c r="G461" i="14"/>
  <c r="G462" i="14"/>
  <c r="G463" i="14"/>
  <c r="G464" i="14"/>
  <c r="G465" i="14"/>
  <c r="G466" i="14"/>
  <c r="G467" i="14"/>
  <c r="G468" i="14"/>
  <c r="G469" i="14"/>
  <c r="G470" i="14"/>
  <c r="G471" i="14"/>
  <c r="G472" i="14"/>
  <c r="G473" i="14"/>
  <c r="G474" i="14"/>
  <c r="G475" i="14"/>
  <c r="G476" i="14"/>
  <c r="G477" i="14"/>
  <c r="G478" i="14"/>
  <c r="G479" i="14"/>
  <c r="G480" i="14"/>
  <c r="G481" i="14"/>
  <c r="G482" i="14"/>
  <c r="G483" i="14"/>
  <c r="G484" i="14"/>
  <c r="G485" i="14"/>
  <c r="G486" i="14"/>
  <c r="G487" i="14"/>
  <c r="U16" i="14" a="1"/>
  <c r="U16" i="14" s="1"/>
  <c r="AI16" i="14" s="1"/>
  <c r="U5" i="14" a="1"/>
  <c r="U5" i="14" s="1"/>
  <c r="AI5" i="14" s="1"/>
  <c r="U3" i="14" a="1"/>
  <c r="U3" i="14" s="1"/>
  <c r="AI3" i="14" s="1"/>
  <c r="U6" i="14" a="1"/>
  <c r="U6" i="14" s="1"/>
  <c r="AI6" i="14" s="1"/>
  <c r="U4" i="14" a="1"/>
  <c r="U4" i="14" s="1"/>
  <c r="AI4" i="14" s="1"/>
  <c r="U7" i="14" a="1"/>
  <c r="U7" i="14" s="1"/>
  <c r="AI7" i="14" s="1"/>
  <c r="U8" i="14" a="1"/>
  <c r="U8" i="14" s="1"/>
  <c r="AI8" i="14" s="1"/>
  <c r="U9" i="14" a="1"/>
  <c r="U9" i="14" s="1"/>
  <c r="AI9" i="14" s="1"/>
  <c r="U10" i="14" a="1"/>
  <c r="U10" i="14" s="1"/>
  <c r="AI10" i="14" s="1"/>
  <c r="U13" i="14" a="1"/>
  <c r="U13" i="14" s="1"/>
  <c r="AI13" i="14" s="1"/>
  <c r="U14" i="14" a="1"/>
  <c r="U14" i="14" s="1"/>
  <c r="AI14" i="14" s="1"/>
  <c r="U11" i="14" a="1"/>
  <c r="U11" i="14" s="1"/>
  <c r="AI11" i="14" s="1"/>
  <c r="U12" i="14" a="1"/>
  <c r="U12" i="14" s="1"/>
  <c r="AI12" i="14" s="1"/>
  <c r="U15" i="14" a="1"/>
  <c r="U15" i="14" s="1"/>
  <c r="AI15" i="14" s="1"/>
  <c r="U2" i="14" a="1"/>
  <c r="U2" i="14" s="1"/>
  <c r="AI2" i="14" s="1"/>
  <c r="T5" i="14" a="1"/>
  <c r="T5" i="14" s="1"/>
  <c r="AH5" i="14" s="1"/>
  <c r="T3" i="14" a="1"/>
  <c r="T3" i="14" s="1"/>
  <c r="AH3" i="14" s="1"/>
  <c r="T6" i="14" a="1"/>
  <c r="T6" i="14" s="1"/>
  <c r="AH6" i="14" s="1"/>
  <c r="T4" i="14" a="1"/>
  <c r="T4" i="14" s="1"/>
  <c r="AH4" i="14" s="1"/>
  <c r="T7" i="14" a="1"/>
  <c r="T7" i="14" s="1"/>
  <c r="AH7" i="14" s="1"/>
  <c r="T8" i="14" a="1"/>
  <c r="T8" i="14" s="1"/>
  <c r="AH8" i="14" s="1"/>
  <c r="T9" i="14" a="1"/>
  <c r="T9" i="14" s="1"/>
  <c r="AH9" i="14" s="1"/>
  <c r="T10" i="14" a="1"/>
  <c r="T10" i="14" s="1"/>
  <c r="AH10" i="14" s="1"/>
  <c r="T13" i="14" a="1"/>
  <c r="T13" i="14" s="1"/>
  <c r="AH13" i="14" s="1"/>
  <c r="T14" i="14" a="1"/>
  <c r="T14" i="14" s="1"/>
  <c r="AH14" i="14" s="1"/>
  <c r="T11" i="14" a="1"/>
  <c r="T11" i="14" s="1"/>
  <c r="AH11" i="14" s="1"/>
  <c r="T12" i="14" a="1"/>
  <c r="T12" i="14" s="1"/>
  <c r="AH12" i="14" s="1"/>
  <c r="T15" i="14" a="1"/>
  <c r="T15" i="14" s="1"/>
  <c r="AH15" i="14" s="1"/>
  <c r="T16" i="14" a="1"/>
  <c r="T16" i="14" s="1"/>
  <c r="AH16" i="14" s="1"/>
  <c r="T2" i="14" a="1"/>
  <c r="T2" i="14" s="1"/>
  <c r="AH2" i="14" s="1"/>
  <c r="S5" i="14" a="1"/>
  <c r="S5" i="14" s="1"/>
  <c r="AG5" i="14" s="1"/>
  <c r="S3" i="14" a="1"/>
  <c r="S3" i="14" s="1"/>
  <c r="AG3" i="14" s="1"/>
  <c r="S6" i="14" a="1"/>
  <c r="S6" i="14" s="1"/>
  <c r="AG6" i="14" s="1"/>
  <c r="S4" i="14" a="1"/>
  <c r="S4" i="14" s="1"/>
  <c r="AG4" i="14" s="1"/>
  <c r="S7" i="14" a="1"/>
  <c r="S7" i="14" s="1"/>
  <c r="AG7" i="14" s="1"/>
  <c r="S8" i="14" a="1"/>
  <c r="S8" i="14" s="1"/>
  <c r="AG8" i="14" s="1"/>
  <c r="S9" i="14" a="1"/>
  <c r="S9" i="14" s="1"/>
  <c r="AG9" i="14" s="1"/>
  <c r="S10" i="14" a="1"/>
  <c r="S10" i="14" s="1"/>
  <c r="AG10" i="14" s="1"/>
  <c r="S13" i="14" a="1"/>
  <c r="S13" i="14" s="1"/>
  <c r="AG13" i="14" s="1"/>
  <c r="S14" i="14" a="1"/>
  <c r="S14" i="14" s="1"/>
  <c r="AG14" i="14" s="1"/>
  <c r="S11" i="14" a="1"/>
  <c r="S11" i="14" s="1"/>
  <c r="AG11" i="14" s="1"/>
  <c r="S12" i="14" a="1"/>
  <c r="S12" i="14" s="1"/>
  <c r="AG12" i="14" s="1"/>
  <c r="S15" i="14" a="1"/>
  <c r="S15" i="14" s="1"/>
  <c r="AG15" i="14" s="1"/>
  <c r="S16" i="14" a="1"/>
  <c r="S16" i="14" s="1"/>
  <c r="AG16" i="14" s="1"/>
  <c r="S2" i="14" a="1"/>
  <c r="S2" i="14" s="1"/>
  <c r="AG2" i="14" s="1"/>
  <c r="R5" i="14" a="1"/>
  <c r="R5" i="14" s="1"/>
  <c r="AF5" i="14" s="1"/>
  <c r="R3" i="14" a="1"/>
  <c r="R3" i="14" s="1"/>
  <c r="AF3" i="14" s="1"/>
  <c r="R6" i="14" a="1"/>
  <c r="R6" i="14" s="1"/>
  <c r="AF6" i="14" s="1"/>
  <c r="R4" i="14" a="1"/>
  <c r="R4" i="14" s="1"/>
  <c r="AF4" i="14" s="1"/>
  <c r="R7" i="14" a="1"/>
  <c r="R7" i="14" s="1"/>
  <c r="AF7" i="14" s="1"/>
  <c r="R8" i="14" a="1"/>
  <c r="R8" i="14" s="1"/>
  <c r="AF8" i="14" s="1"/>
  <c r="R9" i="14" a="1"/>
  <c r="R9" i="14" s="1"/>
  <c r="AF9" i="14" s="1"/>
  <c r="R10" i="14" a="1"/>
  <c r="R10" i="14" s="1"/>
  <c r="AF10" i="14" s="1"/>
  <c r="R13" i="14" a="1"/>
  <c r="R13" i="14" s="1"/>
  <c r="AF13" i="14" s="1"/>
  <c r="R14" i="14" a="1"/>
  <c r="R14" i="14" s="1"/>
  <c r="AF14" i="14" s="1"/>
  <c r="R11" i="14" a="1"/>
  <c r="R11" i="14" s="1"/>
  <c r="AF11" i="14" s="1"/>
  <c r="R12" i="14" a="1"/>
  <c r="R12" i="14" s="1"/>
  <c r="AF12" i="14" s="1"/>
  <c r="R15" i="14" a="1"/>
  <c r="R15" i="14" s="1"/>
  <c r="AF15" i="14" s="1"/>
  <c r="R16" i="14" a="1"/>
  <c r="R16" i="14" s="1"/>
  <c r="AF16" i="14" s="1"/>
  <c r="R2" i="14" a="1"/>
  <c r="R2" i="14" s="1"/>
  <c r="AF2" i="14" s="1"/>
  <c r="Q5" i="14"/>
  <c r="AE5" i="14" s="1"/>
  <c r="Q3" i="14"/>
  <c r="AE3" i="14" s="1"/>
  <c r="Q6" i="14"/>
  <c r="AE6" i="14" s="1"/>
  <c r="Q4" i="14"/>
  <c r="AE4" i="14" s="1"/>
  <c r="Q7" i="14"/>
  <c r="AE7" i="14" s="1"/>
  <c r="Q8" i="14"/>
  <c r="AE8" i="14" s="1"/>
  <c r="Q9" i="14"/>
  <c r="AE9" i="14" s="1"/>
  <c r="Q10" i="14"/>
  <c r="AE10" i="14" s="1"/>
  <c r="Q13" i="14"/>
  <c r="AE13" i="14" s="1"/>
  <c r="Q14" i="14"/>
  <c r="AE14" i="14" s="1"/>
  <c r="Q11" i="14"/>
  <c r="AE11" i="14" s="1"/>
  <c r="Q12" i="14"/>
  <c r="AE12" i="14" s="1"/>
  <c r="Q15" i="14"/>
  <c r="AE15" i="14" s="1"/>
  <c r="Q16" i="14"/>
  <c r="AE16" i="14" s="1"/>
  <c r="Q2" i="14"/>
  <c r="AE2" i="14" s="1"/>
  <c r="P5" i="14"/>
  <c r="AD5" i="14" s="1"/>
  <c r="P3" i="14"/>
  <c r="AD3" i="14" s="1"/>
  <c r="P6" i="14"/>
  <c r="AD6" i="14" s="1"/>
  <c r="P4" i="14"/>
  <c r="AD4" i="14" s="1"/>
  <c r="P7" i="14"/>
  <c r="AD7" i="14" s="1"/>
  <c r="P8" i="14"/>
  <c r="AD8" i="14" s="1"/>
  <c r="P9" i="14"/>
  <c r="AD9" i="14" s="1"/>
  <c r="P10" i="14"/>
  <c r="AD10" i="14" s="1"/>
  <c r="P13" i="14"/>
  <c r="AD13" i="14" s="1"/>
  <c r="P14" i="14"/>
  <c r="AD14" i="14" s="1"/>
  <c r="P11" i="14"/>
  <c r="AD11" i="14" s="1"/>
  <c r="P12" i="14"/>
  <c r="AD12" i="14" s="1"/>
  <c r="P15" i="14"/>
  <c r="AD15" i="14" s="1"/>
  <c r="P16" i="14"/>
  <c r="AD16" i="14" s="1"/>
  <c r="P2" i="14"/>
  <c r="AD2" i="14" s="1"/>
  <c r="O5" i="14"/>
  <c r="AC5" i="14" s="1"/>
  <c r="O3" i="14"/>
  <c r="AC3" i="14" s="1"/>
  <c r="O6" i="14"/>
  <c r="AC6" i="14" s="1"/>
  <c r="O4" i="14"/>
  <c r="AC4" i="14" s="1"/>
  <c r="O7" i="14"/>
  <c r="AC7" i="14" s="1"/>
  <c r="O8" i="14"/>
  <c r="AC8" i="14" s="1"/>
  <c r="O9" i="14"/>
  <c r="AC9" i="14" s="1"/>
  <c r="O10" i="14"/>
  <c r="AC10" i="14" s="1"/>
  <c r="O13" i="14"/>
  <c r="AC13" i="14" s="1"/>
  <c r="O14" i="14"/>
  <c r="AC14" i="14" s="1"/>
  <c r="O11" i="14"/>
  <c r="AC11" i="14" s="1"/>
  <c r="O12" i="14"/>
  <c r="AC12" i="14" s="1"/>
  <c r="O15" i="14"/>
  <c r="AC15" i="14" s="1"/>
  <c r="O16" i="14"/>
  <c r="AC16" i="14" s="1"/>
  <c r="O2" i="14"/>
  <c r="AC2" i="14" s="1"/>
  <c r="V7" i="14" l="1"/>
  <c r="V2" i="14"/>
  <c r="V8" i="14"/>
  <c r="V16" i="14"/>
  <c r="V14" i="14"/>
  <c r="V10" i="14"/>
  <c r="V13" i="14"/>
  <c r="V15" i="14"/>
  <c r="V4" i="14"/>
  <c r="V6" i="14"/>
  <c r="V3" i="14"/>
  <c r="V5" i="14"/>
  <c r="V12" i="14"/>
  <c r="V9" i="14"/>
  <c r="V11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<sst xmlns="http://schemas.openxmlformats.org/spreadsheetml/2006/main" count="3004" uniqueCount="35">
  <si>
    <t>0.1mm</t>
  </si>
  <si>
    <t>0.01mm</t>
  </si>
  <si>
    <t>0.1mm</t>
    <phoneticPr fontId="1"/>
  </si>
  <si>
    <t>0.01mm</t>
    <phoneticPr fontId="1"/>
  </si>
  <si>
    <t>14844→26054</t>
    <phoneticPr fontId="1"/>
  </si>
  <si>
    <t>26054→12825</t>
    <phoneticPr fontId="1"/>
  </si>
  <si>
    <t>Full fill</t>
  </si>
  <si>
    <t>Line</t>
  </si>
  <si>
    <t>Cross</t>
  </si>
  <si>
    <t>Dot</t>
  </si>
  <si>
    <t>Comment</t>
  </si>
  <si>
    <t>Void</t>
  </si>
  <si>
    <t>←ROI area</t>
    <phoneticPr fontId="1"/>
  </si>
  <si>
    <t>Void rate</t>
    <phoneticPr fontId="1"/>
  </si>
  <si>
    <t>Pitch</t>
    <phoneticPr fontId="1"/>
  </si>
  <si>
    <t>Texturing type</t>
    <phoneticPr fontId="1"/>
  </si>
  <si>
    <t>Hatching type</t>
  </si>
  <si>
    <t>No texturing</t>
  </si>
  <si>
    <t>No texturing</t>
    <phoneticPr fontId="1"/>
  </si>
  <si>
    <t>Copper</t>
  </si>
  <si>
    <t>Frame (inner 0.15 mm)</t>
  </si>
  <si>
    <t>Frame (inner 0.1 mm)</t>
  </si>
  <si>
    <t>No frame (inner 0.15 mm)</t>
  </si>
  <si>
    <t>No frame</t>
  </si>
  <si>
    <t>Frame</t>
  </si>
  <si>
    <t>Number of samples</t>
    <phoneticPr fontId="1"/>
  </si>
  <si>
    <t>Max</t>
    <phoneticPr fontId="1"/>
  </si>
  <si>
    <t>Min</t>
    <phoneticPr fontId="1"/>
  </si>
  <si>
    <t>Median</t>
    <phoneticPr fontId="1"/>
  </si>
  <si>
    <t>Standard deviation</t>
  </si>
  <si>
    <t>1st quartile</t>
  </si>
  <si>
    <t>3rd quartile</t>
  </si>
  <si>
    <t>Samples≥ 25% criterion (%)</t>
    <phoneticPr fontId="1"/>
  </si>
  <si>
    <t>Hatching type</t>
    <phoneticPr fontId="1"/>
  </si>
  <si>
    <t>Mean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</si>
</sst>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2"/>
      <scheme val="minor"/>
    </font>
    <font>
      <strike/>
      <sz val="11"/>
      <color theme="1"/>
      <name val="Yu Gothic"/>
      <family val="2"/>
      <scheme val="minor"/>
    </font>
    <font>
      <strike/>
      <sz val="11"/>
      <color theme="1"/>
      <name val="Yu Gothic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3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Fill="1"/>
    <xf numFmtId="0" fontId="0" fillId="0" borderId="1" xfId="0" applyFill="1" applyBorder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9" fontId="0" fillId="0" borderId="0" xfId="1" applyFon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10" fontId="4" fillId="0" borderId="0" xfId="1" applyNumberFormat="1" applyFont="1" applyFill="1" applyAlignment="1">
      <alignment horizontal="center" vertical="center"/>
    </xf>
    <xf numFmtId="10" fontId="0" fillId="0" borderId="0" xfId="1" applyNumberFormat="1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9" fontId="0" fillId="0" borderId="0" xfId="1" applyFont="1" applyFill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D3A-14FF-4959-841A-7B5F379F9FE1}">
  <dimension ref="B1:AJ488"/>
  <sheetViews>
    <sheetView tabSelected="1" topLeftCell="I1" zoomScale="85" zoomScaleNormal="85" workbookViewId="0">
      <selection activeCell="N2" sqref="N2"/>
    </sheetView>
  </sheetViews>
  <sheetFormatPr defaultRowHeight="22.5" customHeight="1"/>
  <cols>
    <col min="1" max="2" width="8.6640625" style="4"/>
    <col min="3" max="5" width="15" style="4" customWidth="1"/>
    <col min="6" max="6" width="9.1640625" style="4" customWidth="1"/>
    <col min="7" max="7" width="9.1640625" style="14" customWidth="1"/>
    <col min="8" max="8" width="69.4140625" style="4" customWidth="1"/>
    <col min="9" max="9" width="8.6640625" style="4"/>
    <col min="10" max="10" width="8.6640625" style="19"/>
    <col min="11" max="11" width="29.58203125" style="19" customWidth="1"/>
    <col min="12" max="13" width="15" style="19" customWidth="1"/>
    <col min="14" max="14" width="10.08203125" style="19" bestFit="1" customWidth="1"/>
    <col min="15" max="21" width="11.6640625" style="19" customWidth="1"/>
    <col min="22" max="22" width="11.6640625" style="20" customWidth="1"/>
    <col min="23" max="24" width="11.6640625" style="4" customWidth="1"/>
    <col min="25" max="25" width="8.6640625" style="4"/>
    <col min="26" max="36" width="15" style="4" customWidth="1"/>
    <col min="37" max="16384" width="8.6640625" style="4"/>
  </cols>
  <sheetData>
    <row r="1" spans="2:36" s="29" customFormat="1" ht="54">
      <c r="B1" s="27"/>
      <c r="C1" s="27" t="s">
        <v>15</v>
      </c>
      <c r="D1" s="27" t="s">
        <v>16</v>
      </c>
      <c r="E1" s="27" t="s">
        <v>14</v>
      </c>
      <c r="F1" s="27" t="s">
        <v>11</v>
      </c>
      <c r="G1" s="28" t="s">
        <v>13</v>
      </c>
      <c r="H1" s="27" t="s">
        <v>10</v>
      </c>
      <c r="J1" s="30"/>
      <c r="K1" s="30" t="s">
        <v>15</v>
      </c>
      <c r="L1" s="30" t="s">
        <v>16</v>
      </c>
      <c r="M1" s="30" t="s">
        <v>14</v>
      </c>
      <c r="N1" s="30" t="s">
        <v>25</v>
      </c>
      <c r="O1" s="30" t="s">
        <v>26</v>
      </c>
      <c r="P1" s="30" t="s">
        <v>27</v>
      </c>
      <c r="Q1" s="30" t="s">
        <v>34</v>
      </c>
      <c r="R1" s="30" t="s">
        <v>28</v>
      </c>
      <c r="S1" s="30" t="s">
        <v>29</v>
      </c>
      <c r="T1" s="30" t="s">
        <v>30</v>
      </c>
      <c r="U1" s="30" t="s">
        <v>31</v>
      </c>
      <c r="V1" s="31" t="s">
        <v>32</v>
      </c>
      <c r="Z1" s="30" t="s">
        <v>33</v>
      </c>
      <c r="AA1" s="30" t="s">
        <v>14</v>
      </c>
      <c r="AB1" s="30" t="s">
        <v>25</v>
      </c>
      <c r="AC1" s="30" t="s">
        <v>26</v>
      </c>
      <c r="AD1" s="30" t="s">
        <v>27</v>
      </c>
      <c r="AE1" s="30" t="s">
        <v>34</v>
      </c>
      <c r="AF1" s="30" t="s">
        <v>28</v>
      </c>
      <c r="AG1" s="30" t="s">
        <v>29</v>
      </c>
      <c r="AH1" s="30" t="s">
        <v>30</v>
      </c>
      <c r="AI1" s="30" t="s">
        <v>31</v>
      </c>
      <c r="AJ1" s="31" t="s">
        <v>32</v>
      </c>
    </row>
    <row r="2" spans="2:36" ht="22.5" customHeight="1">
      <c r="B2" s="7">
        <v>11</v>
      </c>
      <c r="C2" s="5"/>
      <c r="D2" s="5"/>
      <c r="E2" s="5"/>
      <c r="F2" s="5"/>
      <c r="G2" s="13"/>
      <c r="H2" s="5"/>
      <c r="J2" s="19">
        <v>1</v>
      </c>
      <c r="K2" s="19" t="s">
        <v>6</v>
      </c>
      <c r="L2" s="19" t="s">
        <v>7</v>
      </c>
      <c r="M2" s="19" t="s">
        <v>2</v>
      </c>
      <c r="N2" s="19">
        <f t="shared" ref="N2:N6" si="0">COUNTIFS($C$2:$C$487, K2, $D$2:$D$487, L2, $E$2:$E$487, M2)</f>
        <v>22</v>
      </c>
      <c r="O2" s="21">
        <f t="shared" ref="O2:O6" si="1">_xlfn.MAXIFS($F$2:$F$487,$C$2:$C$487,K2,$D$2:$D$487,L2,$E$2:$E$487,M2)</f>
        <v>49555</v>
      </c>
      <c r="P2" s="21">
        <f t="shared" ref="P2:P6" si="2">_xlfn.MINIFS($F$2:$F$487,$C$2:$C$487,K2,$D$2:$D$487,L2,$E$2:$E$487,M2)</f>
        <v>6166</v>
      </c>
      <c r="Q2" s="21">
        <f t="shared" ref="Q2:Q6" si="3">AVERAGEIFS($F$2:$F$487,$C$2:$C$487,K2,$D$2:$D$487,L2,$E$2:$E$487,M2)</f>
        <v>24388.5</v>
      </c>
      <c r="R2" s="21" cm="1">
        <f t="array" ref="R2">MEDIAN(_xlfn._xlws.FILTER($F$2:$F$487,($C$2:$C$487=K2)*($D$2:$D$487=L2)*($E$2:$E$487=M2)))</f>
        <v>19823.5</v>
      </c>
      <c r="S2" s="22" cm="1">
        <f t="array" ref="S2">_xlfn.STDEV.S(_xlfn._xlws.FILTER($F$2:$F$487,($C$2:$C$487=K2)*($D$2:$D$487=L2)*($E$2:$E$487=M2)))</f>
        <v>14904.210810403629</v>
      </c>
      <c r="T2" s="19" cm="1">
        <f t="array" ref="T2">IFERROR(_xlfn.QUARTILE.INC(_xlfn._xlws.FILTER($F$2:$F$487,($C$2:$C$487=K2)*($D$2:$D$487=L2)*($E$2:$E$487=M2)),1),"")</f>
        <v>12429.25</v>
      </c>
      <c r="U2" s="19" cm="1">
        <f t="array" ref="U2">IFERROR(_xlfn.QUARTILE.INC(_xlfn._xlws.FILTER($F$2:$F$487,($C$2:$C$487=K2)*($D$2:$D$487=L2)*($E$2:$E$487=M2)),3),"")</f>
        <v>35463.25</v>
      </c>
      <c r="V2" s="20">
        <f>IFERROR(COUNTIFS($C$2:$C$487,K2,$D$2:$D$487,L2,$E$2:$E$487,M2,$G$2:$G$487,"&gt;0.25")/COUNTIFS($C$2:$C$487,K2,$D$2:$D$487,L2,$E$2:$E$487,M2),0)</f>
        <v>0.22727272727272727</v>
      </c>
      <c r="W2" s="6">
        <v>157683</v>
      </c>
      <c r="X2" s="4" t="s">
        <v>12</v>
      </c>
      <c r="Z2" s="19" t="s">
        <v>7</v>
      </c>
      <c r="AA2" s="19" t="s">
        <v>2</v>
      </c>
      <c r="AB2" s="19"/>
      <c r="AC2" s="20">
        <f>O2/$W$2</f>
        <v>0.31426976909368798</v>
      </c>
      <c r="AD2" s="20">
        <f>P2/$W$2</f>
        <v>3.9103771490902633E-2</v>
      </c>
      <c r="AE2" s="20">
        <f>Q2/$W$2</f>
        <v>0.15466790966686325</v>
      </c>
      <c r="AF2" s="20">
        <f>R2/$W$2</f>
        <v>0.12571742039408179</v>
      </c>
      <c r="AG2" s="20">
        <f>S2/$W$2</f>
        <v>9.452008656864487E-2</v>
      </c>
      <c r="AH2" s="20">
        <f>T2/$W$2</f>
        <v>7.8824286701800444E-2</v>
      </c>
      <c r="AI2" s="20">
        <f>U2/$W$2</f>
        <v>0.22490217715289537</v>
      </c>
      <c r="AJ2" s="26"/>
    </row>
    <row r="3" spans="2:36" ht="22.5" customHeight="1">
      <c r="B3" s="7">
        <v>12</v>
      </c>
      <c r="C3" s="5" t="s">
        <v>6</v>
      </c>
      <c r="D3" s="5" t="s">
        <v>7</v>
      </c>
      <c r="E3" s="5" t="s">
        <v>0</v>
      </c>
      <c r="F3" s="5">
        <v>36890</v>
      </c>
      <c r="G3" s="13">
        <f t="shared" ref="G3:G9" si="4">F3/$W$2</f>
        <v>0.2339503941452154</v>
      </c>
      <c r="H3" s="5"/>
      <c r="J3" s="19">
        <v>2</v>
      </c>
      <c r="K3" s="19" t="s">
        <v>6</v>
      </c>
      <c r="L3" s="19" t="s">
        <v>8</v>
      </c>
      <c r="M3" s="19" t="s">
        <v>2</v>
      </c>
      <c r="N3" s="19">
        <f>COUNTIFS($C$2:$C$487, K3, $D$2:$D$487, L3, $E$2:$E$487, M3)</f>
        <v>27</v>
      </c>
      <c r="O3" s="21">
        <f>_xlfn.MAXIFS($F$2:$F$487,$C$2:$C$487,K3,$D$2:$D$487,L3,$E$2:$E$487,M3)</f>
        <v>57045</v>
      </c>
      <c r="P3" s="21">
        <f>_xlfn.MINIFS($F$2:$F$487,$C$2:$C$487,K3,$D$2:$D$487,L3,$E$2:$E$487,M3)</f>
        <v>7394</v>
      </c>
      <c r="Q3" s="21">
        <f>AVERAGEIFS($F$2:$F$487,$C$2:$C$487,K3,$D$2:$D$487,L3,$E$2:$E$487,M3)</f>
        <v>24658.222222222223</v>
      </c>
      <c r="R3" s="21" cm="1">
        <f t="array" ref="R3">MEDIAN(_xlfn._xlws.FILTER($F$2:$F$487,($C$2:$C$487=K3)*($D$2:$D$487=L3)*($E$2:$E$487=M3)))</f>
        <v>22046</v>
      </c>
      <c r="S3" s="22" cm="1">
        <f t="array" ref="S3">_xlfn.STDEV.S(_xlfn._xlws.FILTER($F$2:$F$487,($C$2:$C$487=K3)*($D$2:$D$487=L3)*($E$2:$E$487=M3)))</f>
        <v>13536.649370486301</v>
      </c>
      <c r="T3" s="19" cm="1">
        <f t="array" ref="T3">IFERROR(_xlfn.QUARTILE.INC(_xlfn._xlws.FILTER($F$2:$F$487,($C$2:$C$487=K3)*($D$2:$D$487=L3)*($E$2:$E$487=M3)),1),"")</f>
        <v>13639</v>
      </c>
      <c r="U3" s="19" cm="1">
        <f t="array" ref="U3">IFERROR(_xlfn.QUARTILE.INC(_xlfn._xlws.FILTER($F$2:$F$487,($C$2:$C$487=K3)*($D$2:$D$487=L3)*($E$2:$E$487=M3)),3),"")</f>
        <v>34634</v>
      </c>
      <c r="V3" s="20">
        <f>IFERROR(COUNTIFS($C$2:$C$487,K3,$D$2:$D$487,L3,$E$2:$E$487,M3,$G$2:$G$487,"&gt;0.25")/COUNTIFS($C$2:$C$487,K3,$D$2:$D$487,L3,$E$2:$E$487,M3),0)</f>
        <v>0.18518518518518517</v>
      </c>
      <c r="Z3" s="19" t="s">
        <v>8</v>
      </c>
      <c r="AA3" s="19" t="s">
        <v>2</v>
      </c>
      <c r="AB3" s="19"/>
      <c r="AC3" s="20">
        <f>O3/$W$2</f>
        <v>0.3617701337493579</v>
      </c>
      <c r="AD3" s="20">
        <f>P3/$W$2</f>
        <v>4.6891548232846914E-2</v>
      </c>
      <c r="AE3" s="20">
        <f>Q3/$W$2</f>
        <v>0.15637844423445915</v>
      </c>
      <c r="AF3" s="20">
        <f>R3/$W$2</f>
        <v>0.13981215476620815</v>
      </c>
      <c r="AG3" s="20">
        <f>S3/$W$2</f>
        <v>8.5847233820299587E-2</v>
      </c>
      <c r="AH3" s="20">
        <f>T3/$W$2</f>
        <v>8.649632490503098E-2</v>
      </c>
      <c r="AI3" s="20">
        <f>U3/$W$2</f>
        <v>0.21964320820887476</v>
      </c>
      <c r="AJ3" s="26"/>
    </row>
    <row r="4" spans="2:36" ht="22.5" customHeight="1">
      <c r="B4" s="7">
        <v>13</v>
      </c>
      <c r="C4" s="5" t="s">
        <v>6</v>
      </c>
      <c r="D4" s="5" t="s">
        <v>7</v>
      </c>
      <c r="E4" s="5" t="s">
        <v>0</v>
      </c>
      <c r="F4" s="5">
        <v>10891</v>
      </c>
      <c r="G4" s="13">
        <f t="shared" si="4"/>
        <v>6.906895480172244E-2</v>
      </c>
      <c r="H4" s="5"/>
      <c r="J4" s="19">
        <v>3</v>
      </c>
      <c r="K4" s="19" t="s">
        <v>6</v>
      </c>
      <c r="L4" s="19" t="s">
        <v>9</v>
      </c>
      <c r="M4" s="19" t="s">
        <v>2</v>
      </c>
      <c r="N4" s="19">
        <f>COUNTIFS($C$2:$C$487, K4, $D$2:$D$487, L4, $E$2:$E$487, M4)</f>
        <v>27</v>
      </c>
      <c r="O4" s="21">
        <f>_xlfn.MAXIFS($F$2:$F$487,$C$2:$C$487,K4,$D$2:$D$487,L4,$E$2:$E$487,M4)</f>
        <v>51221</v>
      </c>
      <c r="P4" s="21">
        <f>_xlfn.MINIFS($F$2:$F$487,$C$2:$C$487,K4,$D$2:$D$487,L4,$E$2:$E$487,M4)</f>
        <v>8522</v>
      </c>
      <c r="Q4" s="21">
        <f>AVERAGEIFS($F$2:$F$487,$C$2:$C$487,K4,$D$2:$D$487,L4,$E$2:$E$487,M4)</f>
        <v>25395.814814814814</v>
      </c>
      <c r="R4" s="21" cm="1">
        <f t="array" ref="R4">MEDIAN(_xlfn._xlws.FILTER($F$2:$F$487,($C$2:$C$487=K4)*($D$2:$D$487=L4)*($E$2:$E$487=M4)))</f>
        <v>23621</v>
      </c>
      <c r="S4" s="22" cm="1">
        <f t="array" ref="S4">_xlfn.STDEV.S(_xlfn._xlws.FILTER($F$2:$F$487,($C$2:$C$487=K4)*($D$2:$D$487=L4)*($E$2:$E$487=M4)))</f>
        <v>12169.326278795061</v>
      </c>
      <c r="T4" s="19" cm="1">
        <f t="array" ref="T4">IFERROR(_xlfn.QUARTILE.INC(_xlfn._xlws.FILTER($F$2:$F$487,($C$2:$C$487=K4)*($D$2:$D$487=L4)*($E$2:$E$487=M4)),1),"")</f>
        <v>15459</v>
      </c>
      <c r="U4" s="19" cm="1">
        <f t="array" ref="U4">IFERROR(_xlfn.QUARTILE.INC(_xlfn._xlws.FILTER($F$2:$F$487,($C$2:$C$487=K4)*($D$2:$D$487=L4)*($E$2:$E$487=M4)),3),"")</f>
        <v>33542.5</v>
      </c>
      <c r="V4" s="20">
        <f>IFERROR(COUNTIFS($C$2:$C$487,K4,$D$2:$D$487,L4,$E$2:$E$487,M4,$G$2:$G$487,"&gt;0.25")/COUNTIFS($C$2:$C$487,K4,$D$2:$D$487,L4,$E$2:$E$487,M4),0)</f>
        <v>0.18518518518518517</v>
      </c>
      <c r="Z4" s="19" t="s">
        <v>9</v>
      </c>
      <c r="AA4" s="19" t="s">
        <v>2</v>
      </c>
      <c r="AB4" s="19"/>
      <c r="AC4" s="20">
        <f>O4/$W$2</f>
        <v>0.32483527076476221</v>
      </c>
      <c r="AD4" s="20">
        <f>P4/$W$2</f>
        <v>5.4045141201017229E-2</v>
      </c>
      <c r="AE4" s="20">
        <f>Q4/$W$2</f>
        <v>0.16105613677324007</v>
      </c>
      <c r="AF4" s="20">
        <f>R4/$W$2</f>
        <v>0.14980054920314809</v>
      </c>
      <c r="AG4" s="20">
        <f>S4/$W$2</f>
        <v>7.717589263772924E-2</v>
      </c>
      <c r="AH4" s="20">
        <f>T4/$W$2</f>
        <v>9.8038469587717128E-2</v>
      </c>
      <c r="AI4" s="20">
        <f>U4/$W$2</f>
        <v>0.21272109231813194</v>
      </c>
      <c r="AJ4" s="26"/>
    </row>
    <row r="5" spans="2:36" ht="22.5" customHeight="1">
      <c r="B5" s="7">
        <v>14</v>
      </c>
      <c r="C5" s="5" t="s">
        <v>6</v>
      </c>
      <c r="D5" s="5" t="s">
        <v>7</v>
      </c>
      <c r="E5" s="5" t="s">
        <v>0</v>
      </c>
      <c r="F5" s="5">
        <v>16239</v>
      </c>
      <c r="G5" s="13">
        <f t="shared" si="4"/>
        <v>0.10298510302315406</v>
      </c>
      <c r="H5" s="5"/>
      <c r="J5" s="19">
        <v>4</v>
      </c>
      <c r="K5" s="19" t="s">
        <v>6</v>
      </c>
      <c r="L5" s="19" t="s">
        <v>7</v>
      </c>
      <c r="M5" s="19" t="s">
        <v>3</v>
      </c>
      <c r="N5" s="19">
        <f>COUNTIFS($C$2:$C$487, K5, $D$2:$D$487, L5, $E$2:$E$487, M5)</f>
        <v>38</v>
      </c>
      <c r="O5" s="21">
        <f>_xlfn.MAXIFS($F$2:$F$487,$C$2:$C$487,K5,$D$2:$D$487,L5,$E$2:$E$487,M5)</f>
        <v>48664</v>
      </c>
      <c r="P5" s="21">
        <f>_xlfn.MINIFS($F$2:$F$487,$C$2:$C$487,K5,$D$2:$D$487,L5,$E$2:$E$487,M5)</f>
        <v>7272</v>
      </c>
      <c r="Q5" s="21">
        <f>AVERAGEIFS($F$2:$F$487,$C$2:$C$487,K5,$D$2:$D$487,L5,$E$2:$E$487,M5)</f>
        <v>24427.86842105263</v>
      </c>
      <c r="R5" s="21" cm="1">
        <f t="array" ref="R5">MEDIAN(_xlfn._xlws.FILTER($F$2:$F$487,($C$2:$C$487=K5)*($D$2:$D$487=L5)*($E$2:$E$487=M5)))</f>
        <v>22976</v>
      </c>
      <c r="S5" s="22" cm="1">
        <f t="array" ref="S5">_xlfn.STDEV.S(_xlfn._xlws.FILTER($F$2:$F$487,($C$2:$C$487=K5)*($D$2:$D$487=L5)*($E$2:$E$487=M5)))</f>
        <v>12457.528233358404</v>
      </c>
      <c r="T5" s="19" cm="1">
        <f t="array" ref="T5">IFERROR(_xlfn.QUARTILE.INC(_xlfn._xlws.FILTER($F$2:$F$487,($C$2:$C$487=K5)*($D$2:$D$487=L5)*($E$2:$E$487=M5)),1),"")</f>
        <v>13025.5</v>
      </c>
      <c r="U5" s="19" cm="1">
        <f t="array" ref="U5">IFERROR(_xlfn.QUARTILE.INC(_xlfn._xlws.FILTER($F$2:$F$487,($C$2:$C$487=K5)*($D$2:$D$487=L5)*($E$2:$E$487=M5)),3),"")</f>
        <v>35913</v>
      </c>
      <c r="V5" s="20">
        <f>IFERROR(COUNTIFS($C$2:$C$487,K5,$D$2:$D$487,L5,$E$2:$E$487,M5,$G$2:$G$487,"&gt;0.25")/COUNTIFS($C$2:$C$487,K5,$D$2:$D$487,L5,$E$2:$E$487,M5),0)</f>
        <v>0.13157894736842105</v>
      </c>
      <c r="Z5" s="19" t="s">
        <v>7</v>
      </c>
      <c r="AA5" s="19" t="s">
        <v>3</v>
      </c>
      <c r="AB5" s="19"/>
      <c r="AC5" s="20">
        <f>O5/$W$2</f>
        <v>0.30861919166936197</v>
      </c>
      <c r="AD5" s="20">
        <f>P5/$W$2</f>
        <v>4.6117844028842676E-2</v>
      </c>
      <c r="AE5" s="20">
        <f>Q5/$W$2</f>
        <v>0.15491757780517004</v>
      </c>
      <c r="AF5" s="20">
        <f>R5/$W$2</f>
        <v>0.14571006386230601</v>
      </c>
      <c r="AG5" s="20">
        <f>S5/$W$2</f>
        <v>7.9003622669269385E-2</v>
      </c>
      <c r="AH5" s="20">
        <f>T5/$W$2</f>
        <v>8.2605607452927707E-2</v>
      </c>
      <c r="AI5" s="20">
        <f>U5/$W$2</f>
        <v>0.22775441867544377</v>
      </c>
      <c r="AJ5" s="26"/>
    </row>
    <row r="6" spans="2:36" ht="22.5" customHeight="1">
      <c r="B6" s="7">
        <v>15</v>
      </c>
      <c r="C6" s="5" t="s">
        <v>6</v>
      </c>
      <c r="D6" s="5" t="s">
        <v>7</v>
      </c>
      <c r="E6" s="5" t="s">
        <v>0</v>
      </c>
      <c r="F6" s="5">
        <v>47900</v>
      </c>
      <c r="G6" s="13">
        <f t="shared" si="4"/>
        <v>0.30377402763772887</v>
      </c>
      <c r="H6" s="5"/>
      <c r="J6" s="19">
        <v>5</v>
      </c>
      <c r="K6" s="19" t="s">
        <v>6</v>
      </c>
      <c r="L6" s="19" t="s">
        <v>8</v>
      </c>
      <c r="M6" s="19" t="s">
        <v>3</v>
      </c>
      <c r="N6" s="19">
        <f t="shared" si="0"/>
        <v>40</v>
      </c>
      <c r="O6" s="21">
        <f t="shared" si="1"/>
        <v>35557</v>
      </c>
      <c r="P6" s="21">
        <f t="shared" si="2"/>
        <v>5232</v>
      </c>
      <c r="Q6" s="21">
        <f t="shared" si="3"/>
        <v>16802.849999999999</v>
      </c>
      <c r="R6" s="21" cm="1">
        <f t="array" ref="R6">MEDIAN(_xlfn._xlws.FILTER($F$2:$F$487,($C$2:$C$487=K6)*($D$2:$D$487=L6)*($E$2:$E$487=M6)))</f>
        <v>15286.5</v>
      </c>
      <c r="S6" s="22" cm="1">
        <f t="array" ref="S6">_xlfn.STDEV.S(_xlfn._xlws.FILTER($F$2:$F$487,($C$2:$C$487=K6)*($D$2:$D$487=L6)*($E$2:$E$487=M6)))</f>
        <v>7542.0287060289093</v>
      </c>
      <c r="T6" s="19" cm="1">
        <f t="array" ref="T6">IFERROR(_xlfn.QUARTILE.INC(_xlfn._xlws.FILTER($F$2:$F$487,($C$2:$C$487=K6)*($D$2:$D$487=L6)*($E$2:$E$487=M6)),1),"")</f>
        <v>11307.5</v>
      </c>
      <c r="U6" s="19" cm="1">
        <f t="array" ref="U6">IFERROR(_xlfn.QUARTILE.INC(_xlfn._xlws.FILTER($F$2:$F$487,($C$2:$C$487=K6)*($D$2:$D$487=L6)*($E$2:$E$487=M6)),3),"")</f>
        <v>21884.25</v>
      </c>
      <c r="V6" s="20">
        <f t="shared" ref="V6" si="5">IFERROR(COUNTIFS($C$2:$C$487,K6,$D$2:$D$487,L6,$E$2:$E$487,M6,$G$2:$G$487,"&gt;0.25")/COUNTIFS($C$2:$C$487,K6,$D$2:$D$487,L6,$E$2:$E$487,M6),0)</f>
        <v>0</v>
      </c>
      <c r="Z6" s="19" t="s">
        <v>8</v>
      </c>
      <c r="AA6" s="19" t="s">
        <v>3</v>
      </c>
      <c r="AB6" s="19"/>
      <c r="AC6" s="20">
        <f>O6/$W$2</f>
        <v>0.22549672444080845</v>
      </c>
      <c r="AD6" s="20">
        <f>P6/$W$2</f>
        <v>3.3180495043853807E-2</v>
      </c>
      <c r="AE6" s="20">
        <f>Q6/$W$2</f>
        <v>0.10656094823157854</v>
      </c>
      <c r="AF6" s="20">
        <f>R6/$W$2</f>
        <v>9.6944502577957045E-2</v>
      </c>
      <c r="AG6" s="20">
        <f>S6/$W$2</f>
        <v>4.7830322267009819E-2</v>
      </c>
      <c r="AH6" s="20">
        <f>T6/$W$2</f>
        <v>7.1710330219490998E-2</v>
      </c>
      <c r="AI6" s="20">
        <f>U6/$W$2</f>
        <v>0.13878636251212875</v>
      </c>
      <c r="AJ6" s="26"/>
    </row>
    <row r="7" spans="2:36" ht="22.5" customHeight="1">
      <c r="B7" s="7">
        <v>16</v>
      </c>
      <c r="C7" s="5" t="s">
        <v>6</v>
      </c>
      <c r="D7" s="5" t="s">
        <v>7</v>
      </c>
      <c r="E7" s="5" t="s">
        <v>0</v>
      </c>
      <c r="F7" s="5">
        <v>25890</v>
      </c>
      <c r="G7" s="13">
        <f t="shared" si="4"/>
        <v>0.16419017903007935</v>
      </c>
      <c r="H7" s="5"/>
      <c r="J7" s="19">
        <v>6</v>
      </c>
      <c r="K7" s="19" t="s">
        <v>24</v>
      </c>
      <c r="L7" s="19" t="s">
        <v>7</v>
      </c>
      <c r="M7" s="19" t="s">
        <v>2</v>
      </c>
      <c r="N7" s="19">
        <f t="shared" ref="N7:N12" si="6">COUNTIFS($C$2:$C$487, K7, $D$2:$D$487, L7, $E$2:$E$487, M7)</f>
        <v>25</v>
      </c>
      <c r="O7" s="21">
        <f t="shared" ref="O7:O12" si="7">_xlfn.MAXIFS($F$2:$F$487,$C$2:$C$487,K7,$D$2:$D$487,L7,$E$2:$E$487,M7)</f>
        <v>45065</v>
      </c>
      <c r="P7" s="21">
        <f t="shared" ref="P7:P12" si="8">_xlfn.MINIFS($F$2:$F$487,$C$2:$C$487,K7,$D$2:$D$487,L7,$E$2:$E$487,M7)</f>
        <v>7659</v>
      </c>
      <c r="Q7" s="21">
        <f t="shared" ref="Q7:Q12" si="9">AVERAGEIFS($F$2:$F$487,$C$2:$C$487,K7,$D$2:$D$487,L7,$E$2:$E$487,M7)</f>
        <v>19110.919999999998</v>
      </c>
      <c r="R7" s="21" cm="1">
        <f t="array" ref="R7">MEDIAN(_xlfn._xlws.FILTER($F$2:$F$487,($C$2:$C$487=K7)*($D$2:$D$487=L7)*($E$2:$E$487=M7)))</f>
        <v>15477</v>
      </c>
      <c r="S7" s="22" cm="1">
        <f t="array" ref="S7">_xlfn.STDEV.S(_xlfn._xlws.FILTER($F$2:$F$487,($C$2:$C$487=K7)*($D$2:$D$487=L7)*($E$2:$E$487=M7)))</f>
        <v>10567.408192645915</v>
      </c>
      <c r="T7" s="19" cm="1">
        <f t="array" ref="T7">IFERROR(_xlfn.QUARTILE.INC(_xlfn._xlws.FILTER($F$2:$F$487,($C$2:$C$487=K7)*($D$2:$D$487=L7)*($E$2:$E$487=M7)),1),"")</f>
        <v>11037</v>
      </c>
      <c r="U7" s="19" cm="1">
        <f t="array" ref="U7">IFERROR(_xlfn.QUARTILE.INC(_xlfn._xlws.FILTER($F$2:$F$487,($C$2:$C$487=K7)*($D$2:$D$487=L7)*($E$2:$E$487=M7)),3),"")</f>
        <v>24330</v>
      </c>
      <c r="V7" s="20">
        <f t="shared" ref="V7:V12" si="10">IFERROR(COUNTIFS($C$2:$C$487,K7,$D$2:$D$487,L7,$E$2:$E$487,M7,$G$2:$G$487,"&gt;0.25")/COUNTIFS($C$2:$C$487,K7,$D$2:$D$487,L7,$E$2:$E$487,M7),0)</f>
        <v>0.04</v>
      </c>
      <c r="Z7" s="19" t="s">
        <v>7</v>
      </c>
      <c r="AA7" s="19" t="s">
        <v>2</v>
      </c>
      <c r="AB7" s="19"/>
      <c r="AC7" s="20">
        <f>O7/$W$2</f>
        <v>0.28579491765123699</v>
      </c>
      <c r="AD7" s="20">
        <f>P7/$W$2</f>
        <v>4.857213523334792E-2</v>
      </c>
      <c r="AE7" s="20">
        <f>Q7/$W$2</f>
        <v>0.12119835365892327</v>
      </c>
      <c r="AF7" s="20">
        <f>R7/$W$2</f>
        <v>9.8152622666996439E-2</v>
      </c>
      <c r="AG7" s="20">
        <f>S7/$W$2</f>
        <v>6.7016788066220925E-2</v>
      </c>
      <c r="AH7" s="20">
        <f>T7/$W$2</f>
        <v>6.9994863111432437E-2</v>
      </c>
      <c r="AI7" s="20">
        <f>U7/$W$2</f>
        <v>0.15429691215920549</v>
      </c>
      <c r="AJ7" s="26"/>
    </row>
    <row r="8" spans="2:36" ht="22.5" customHeight="1">
      <c r="B8" s="7">
        <v>17</v>
      </c>
      <c r="C8" s="5" t="s">
        <v>6</v>
      </c>
      <c r="D8" s="5" t="s">
        <v>7</v>
      </c>
      <c r="E8" s="5" t="s">
        <v>0</v>
      </c>
      <c r="F8" s="5">
        <v>15043</v>
      </c>
      <c r="G8" s="13">
        <f t="shared" si="4"/>
        <v>9.5400265088817437E-2</v>
      </c>
      <c r="H8" s="5"/>
      <c r="J8" s="19">
        <v>7</v>
      </c>
      <c r="K8" s="19" t="s">
        <v>23</v>
      </c>
      <c r="L8" s="19" t="s">
        <v>7</v>
      </c>
      <c r="M8" s="19" t="s">
        <v>2</v>
      </c>
      <c r="N8" s="19">
        <f t="shared" si="6"/>
        <v>25</v>
      </c>
      <c r="O8" s="21">
        <f t="shared" si="7"/>
        <v>37389</v>
      </c>
      <c r="P8" s="21">
        <f t="shared" si="8"/>
        <v>5218</v>
      </c>
      <c r="Q8" s="21">
        <f t="shared" si="9"/>
        <v>17085.560000000001</v>
      </c>
      <c r="R8" s="21" cm="1">
        <f t="array" ref="R8">MEDIAN(_xlfn._xlws.FILTER($F$2:$F$487,($C$2:$C$487=K8)*($D$2:$D$487=L8)*($E$2:$E$487=M8)))</f>
        <v>14366</v>
      </c>
      <c r="S8" s="22" cm="1">
        <f t="array" ref="S8">_xlfn.STDEV.S(_xlfn._xlws.FILTER($F$2:$F$487,($C$2:$C$487=K8)*($D$2:$D$487=L8)*($E$2:$E$487=M8)))</f>
        <v>8341.1449357986821</v>
      </c>
      <c r="T8" s="19" cm="1">
        <f t="array" ref="T8">IFERROR(_xlfn.QUARTILE.INC(_xlfn._xlws.FILTER($F$2:$F$487,($C$2:$C$487=K8)*($D$2:$D$487=L8)*($E$2:$E$487=M8)),1),"")</f>
        <v>10972</v>
      </c>
      <c r="U8" s="19" cm="1">
        <f t="array" ref="U8">IFERROR(_xlfn.QUARTILE.INC(_xlfn._xlws.FILTER($F$2:$F$487,($C$2:$C$487=K8)*($D$2:$D$487=L8)*($E$2:$E$487=M8)),3),"")</f>
        <v>21473</v>
      </c>
      <c r="V8" s="20">
        <f t="shared" si="10"/>
        <v>0</v>
      </c>
      <c r="Z8" s="19" t="s">
        <v>7</v>
      </c>
      <c r="AA8" s="19" t="s">
        <v>2</v>
      </c>
      <c r="AB8" s="19"/>
      <c r="AC8" s="20">
        <f>O8/$W$2</f>
        <v>0.23711497117634747</v>
      </c>
      <c r="AD8" s="20">
        <f>P8/$W$2</f>
        <v>3.309170931552545E-2</v>
      </c>
      <c r="AE8" s="20">
        <f>Q8/$W$2</f>
        <v>0.10835384917841492</v>
      </c>
      <c r="AF8" s="20">
        <f>R8/$W$2</f>
        <v>9.1106840940367695E-2</v>
      </c>
      <c r="AG8" s="20">
        <f>S8/$W$2</f>
        <v>5.2898187729803987E-2</v>
      </c>
      <c r="AH8" s="20">
        <f>T8/$W$2</f>
        <v>6.9582643658479354E-2</v>
      </c>
      <c r="AI8" s="20">
        <f>U8/$W$2</f>
        <v>0.13617828174248334</v>
      </c>
      <c r="AJ8" s="26"/>
    </row>
    <row r="9" spans="2:36" ht="22.5" customHeight="1">
      <c r="B9" s="7">
        <v>18</v>
      </c>
      <c r="C9" s="5" t="s">
        <v>6</v>
      </c>
      <c r="D9" s="5" t="s">
        <v>7</v>
      </c>
      <c r="E9" s="5" t="s">
        <v>0</v>
      </c>
      <c r="F9" s="5">
        <v>27198</v>
      </c>
      <c r="G9" s="13">
        <f t="shared" si="4"/>
        <v>0.17248530279104279</v>
      </c>
      <c r="H9" s="5"/>
      <c r="J9" s="19">
        <v>8</v>
      </c>
      <c r="K9" s="19" t="s">
        <v>23</v>
      </c>
      <c r="L9" s="19" t="s">
        <v>8</v>
      </c>
      <c r="M9" s="19" t="s">
        <v>2</v>
      </c>
      <c r="N9" s="19">
        <f t="shared" si="6"/>
        <v>27</v>
      </c>
      <c r="O9" s="21">
        <f t="shared" si="7"/>
        <v>48025</v>
      </c>
      <c r="P9" s="21">
        <f t="shared" si="8"/>
        <v>5642</v>
      </c>
      <c r="Q9" s="21">
        <f t="shared" si="9"/>
        <v>22560.888888888891</v>
      </c>
      <c r="R9" s="21" cm="1">
        <f t="array" ref="R9">MEDIAN(_xlfn._xlws.FILTER($F$2:$F$487,($C$2:$C$487=K9)*($D$2:$D$487=L9)*($E$2:$E$487=M9)))</f>
        <v>17703</v>
      </c>
      <c r="S9" s="22" cm="1">
        <f t="array" ref="S9">_xlfn.STDEV.S(_xlfn._xlws.FILTER($F$2:$F$487,($C$2:$C$487=K9)*($D$2:$D$487=L9)*($E$2:$E$487=M9)))</f>
        <v>12810.515294185636</v>
      </c>
      <c r="T9" s="19" cm="1">
        <f t="array" ref="T9">IFERROR(_xlfn.QUARTILE.INC(_xlfn._xlws.FILTER($F$2:$F$487,($C$2:$C$487=K9)*($D$2:$D$487=L9)*($E$2:$E$487=M9)),1),"")</f>
        <v>12897</v>
      </c>
      <c r="U9" s="19" cm="1">
        <f t="array" ref="U9">IFERROR(_xlfn.QUARTILE.INC(_xlfn._xlws.FILTER($F$2:$F$487,($C$2:$C$487=K9)*($D$2:$D$487=L9)*($E$2:$E$487=M9)),3),"")</f>
        <v>29855.5</v>
      </c>
      <c r="V9" s="20">
        <f t="shared" si="10"/>
        <v>0.14814814814814814</v>
      </c>
      <c r="Z9" s="19" t="s">
        <v>8</v>
      </c>
      <c r="AA9" s="19" t="s">
        <v>2</v>
      </c>
      <c r="AB9" s="19"/>
      <c r="AC9" s="20">
        <f>O9/$W$2</f>
        <v>0.30456675735494632</v>
      </c>
      <c r="AD9" s="20">
        <f>P9/$W$2</f>
        <v>3.5780648516327063E-2</v>
      </c>
      <c r="AE9" s="20">
        <f>Q9/$W$2</f>
        <v>0.14307749655250654</v>
      </c>
      <c r="AF9" s="20">
        <f>R9/$W$2</f>
        <v>0.11226955347120489</v>
      </c>
      <c r="AG9" s="20">
        <f>S9/$W$2</f>
        <v>8.1242209332557325E-2</v>
      </c>
      <c r="AH9" s="20">
        <f>T9/$W$2</f>
        <v>8.1790681303628168E-2</v>
      </c>
      <c r="AI9" s="20">
        <f>U9/$W$2</f>
        <v>0.1893387365790859</v>
      </c>
      <c r="AJ9" s="26"/>
    </row>
    <row r="10" spans="2:36" ht="22.5" customHeight="1">
      <c r="B10" s="7">
        <v>19</v>
      </c>
      <c r="C10" s="5"/>
      <c r="D10" s="5"/>
      <c r="E10" s="5"/>
      <c r="F10" s="5"/>
      <c r="G10" s="13"/>
      <c r="H10" s="5"/>
      <c r="J10" s="19">
        <v>9</v>
      </c>
      <c r="K10" s="19" t="s">
        <v>21</v>
      </c>
      <c r="L10" s="19" t="s">
        <v>8</v>
      </c>
      <c r="M10" s="19" t="s">
        <v>2</v>
      </c>
      <c r="N10" s="19">
        <f t="shared" si="6"/>
        <v>26</v>
      </c>
      <c r="O10" s="21">
        <f t="shared" si="7"/>
        <v>48261</v>
      </c>
      <c r="P10" s="21">
        <f t="shared" si="8"/>
        <v>11079</v>
      </c>
      <c r="Q10" s="21">
        <f t="shared" si="9"/>
        <v>25863.807692307691</v>
      </c>
      <c r="R10" s="21" cm="1">
        <f t="array" ref="R10">MEDIAN(_xlfn._xlws.FILTER($F$2:$F$487,($C$2:$C$487=K10)*($D$2:$D$487=L10)*($E$2:$E$487=M10)))</f>
        <v>22936</v>
      </c>
      <c r="S10" s="22" cm="1">
        <f t="array" ref="S10">_xlfn.STDEV.S(_xlfn._xlws.FILTER($F$2:$F$487,($C$2:$C$487=K10)*($D$2:$D$487=L10)*($E$2:$E$487=M10)))</f>
        <v>10272.829370798407</v>
      </c>
      <c r="T10" s="19" cm="1">
        <f t="array" ref="T10">IFERROR(_xlfn.QUARTILE.INC(_xlfn._xlws.FILTER($F$2:$F$487,($C$2:$C$487=K10)*($D$2:$D$487=L10)*($E$2:$E$487=M10)),1),"")</f>
        <v>18893.5</v>
      </c>
      <c r="U10" s="19" cm="1">
        <f t="array" ref="U10">IFERROR(_xlfn.QUARTILE.INC(_xlfn._xlws.FILTER($F$2:$F$487,($C$2:$C$487=K10)*($D$2:$D$487=L10)*($E$2:$E$487=M10)),3),"")</f>
        <v>33814</v>
      </c>
      <c r="V10" s="20">
        <f t="shared" si="10"/>
        <v>0.11538461538461539</v>
      </c>
      <c r="Z10" s="19" t="s">
        <v>8</v>
      </c>
      <c r="AA10" s="19" t="s">
        <v>2</v>
      </c>
      <c r="AB10" s="19"/>
      <c r="AC10" s="20">
        <f>O10/$W$2</f>
        <v>0.30606343106105288</v>
      </c>
      <c r="AD10" s="20">
        <f>P10/$W$2</f>
        <v>7.0261220296417501E-2</v>
      </c>
      <c r="AE10" s="20">
        <f>Q10/$W$2</f>
        <v>0.16402407166471777</v>
      </c>
      <c r="AF10" s="20">
        <f>R10/$W$2</f>
        <v>0.14545639035279642</v>
      </c>
      <c r="AG10" s="20">
        <f>S10/$W$2</f>
        <v>6.5148616977089513E-2</v>
      </c>
      <c r="AH10" s="20">
        <f>T10/$W$2</f>
        <v>0.11981951129798393</v>
      </c>
      <c r="AI10" s="20">
        <f>U10/$W$2</f>
        <v>0.21444290126392826</v>
      </c>
      <c r="AJ10" s="26"/>
    </row>
    <row r="11" spans="2:36" ht="22.5" customHeight="1">
      <c r="B11" s="7">
        <v>21</v>
      </c>
      <c r="C11" s="5"/>
      <c r="D11" s="5"/>
      <c r="E11" s="5"/>
      <c r="F11" s="5"/>
      <c r="G11" s="13"/>
      <c r="H11" s="5"/>
      <c r="J11" s="19">
        <v>10</v>
      </c>
      <c r="K11" s="19" t="s">
        <v>20</v>
      </c>
      <c r="L11" s="19" t="s">
        <v>7</v>
      </c>
      <c r="M11" s="19" t="s">
        <v>3</v>
      </c>
      <c r="N11" s="19">
        <f t="shared" si="6"/>
        <v>25</v>
      </c>
      <c r="O11" s="21">
        <f t="shared" si="7"/>
        <v>41251</v>
      </c>
      <c r="P11" s="21">
        <f t="shared" si="8"/>
        <v>7629</v>
      </c>
      <c r="Q11" s="21">
        <f t="shared" si="9"/>
        <v>21896.76</v>
      </c>
      <c r="R11" s="21" cm="1">
        <f t="array" ref="R11">MEDIAN(_xlfn._xlws.FILTER($F$2:$F$487,($C$2:$C$487=K11)*($D$2:$D$487=L11)*($E$2:$E$487=M11)))</f>
        <v>21455</v>
      </c>
      <c r="S11" s="22" cm="1">
        <f t="array" ref="S11">_xlfn.STDEV.S(_xlfn._xlws.FILTER($F$2:$F$487,($C$2:$C$487=K11)*($D$2:$D$487=L11)*($E$2:$E$487=M11)))</f>
        <v>9896.5241089990777</v>
      </c>
      <c r="T11" s="19" cm="1">
        <f t="array" ref="T11">IFERROR(_xlfn.QUARTILE.INC(_xlfn._xlws.FILTER($F$2:$F$487,($C$2:$C$487=K11)*($D$2:$D$487=L11)*($E$2:$E$487=M11)),1),"")</f>
        <v>14051</v>
      </c>
      <c r="U11" s="19" cm="1">
        <f t="array" ref="U11">IFERROR(_xlfn.QUARTILE.INC(_xlfn._xlws.FILTER($F$2:$F$487,($C$2:$C$487=K11)*($D$2:$D$487=L11)*($E$2:$E$487=M11)),3),"")</f>
        <v>29608</v>
      </c>
      <c r="V11" s="20">
        <f t="shared" si="10"/>
        <v>0.04</v>
      </c>
      <c r="Z11" s="19" t="s">
        <v>7</v>
      </c>
      <c r="AA11" s="19" t="s">
        <v>3</v>
      </c>
      <c r="AB11" s="19"/>
      <c r="AC11" s="20">
        <f>O11/$W$2</f>
        <v>0.26160714851949796</v>
      </c>
      <c r="AD11" s="20">
        <f>P11/$W$2</f>
        <v>4.8381880101215732E-2</v>
      </c>
      <c r="AE11" s="20">
        <f>Q11/$W$2</f>
        <v>0.13886569890222789</v>
      </c>
      <c r="AF11" s="20">
        <f>R11/$W$2</f>
        <v>0.13606412866320403</v>
      </c>
      <c r="AG11" s="20">
        <f>S11/$W$2</f>
        <v>6.2762150066900543E-2</v>
      </c>
      <c r="AH11" s="20">
        <f>T11/$W$2</f>
        <v>8.910916205297971E-2</v>
      </c>
      <c r="AI11" s="20">
        <f>U11/$W$2</f>
        <v>0.18776913173899532</v>
      </c>
      <c r="AJ11" s="26"/>
    </row>
    <row r="12" spans="2:36" ht="22.5" customHeight="1">
      <c r="B12" s="7">
        <v>22</v>
      </c>
      <c r="C12" s="5" t="s">
        <v>6</v>
      </c>
      <c r="D12" s="5" t="s">
        <v>7</v>
      </c>
      <c r="E12" s="5" t="s">
        <v>0</v>
      </c>
      <c r="F12" s="5">
        <v>20706</v>
      </c>
      <c r="G12" s="13">
        <f>F12/$W$2</f>
        <v>0.13131409219763704</v>
      </c>
      <c r="H12" s="5"/>
      <c r="J12" s="19">
        <v>11</v>
      </c>
      <c r="K12" s="19" t="s">
        <v>20</v>
      </c>
      <c r="L12" s="19" t="s">
        <v>8</v>
      </c>
      <c r="M12" s="19" t="s">
        <v>3</v>
      </c>
      <c r="N12" s="19">
        <f t="shared" si="6"/>
        <v>26</v>
      </c>
      <c r="O12" s="21">
        <f t="shared" si="7"/>
        <v>40022</v>
      </c>
      <c r="P12" s="21">
        <f t="shared" si="8"/>
        <v>8747</v>
      </c>
      <c r="Q12" s="21">
        <f t="shared" si="9"/>
        <v>21155.038461538461</v>
      </c>
      <c r="R12" s="21" cm="1">
        <f t="array" ref="R12">MEDIAN(_xlfn._xlws.FILTER($F$2:$F$487,($C$2:$C$487=K12)*($D$2:$D$487=L12)*($E$2:$E$487=M12)))</f>
        <v>19634</v>
      </c>
      <c r="S12" s="22" cm="1">
        <f t="array" ref="S12">_xlfn.STDEV.S(_xlfn._xlws.FILTER($F$2:$F$487,($C$2:$C$487=K12)*($D$2:$D$487=L12)*($E$2:$E$487=M12)))</f>
        <v>7687.5394007745763</v>
      </c>
      <c r="T12" s="19" cm="1">
        <f t="array" ref="T12">IFERROR(_xlfn.QUARTILE.INC(_xlfn._xlws.FILTER($F$2:$F$487,($C$2:$C$487=K12)*($D$2:$D$487=L12)*($E$2:$E$487=M12)),1),"")</f>
        <v>16959.5</v>
      </c>
      <c r="U12" s="19" cm="1">
        <f t="array" ref="U12">IFERROR(_xlfn.QUARTILE.INC(_xlfn._xlws.FILTER($F$2:$F$487,($C$2:$C$487=K12)*($D$2:$D$487=L12)*($E$2:$E$487=M12)),3),"")</f>
        <v>25087.75</v>
      </c>
      <c r="V12" s="20">
        <f t="shared" si="10"/>
        <v>7.6923076923076927E-2</v>
      </c>
      <c r="Z12" s="19" t="s">
        <v>8</v>
      </c>
      <c r="AA12" s="19" t="s">
        <v>3</v>
      </c>
      <c r="AB12" s="19"/>
      <c r="AC12" s="20">
        <f>O12/$W$2</f>
        <v>0.25381302993981597</v>
      </c>
      <c r="AD12" s="20">
        <f>P12/$W$2</f>
        <v>5.5472054692008652E-2</v>
      </c>
      <c r="AE12" s="20">
        <f>Q12/$W$2</f>
        <v>0.1341618212587182</v>
      </c>
      <c r="AF12" s="20">
        <f>R12/$W$2</f>
        <v>0.12451564214278013</v>
      </c>
      <c r="AG12" s="20">
        <f>S12/$W$2</f>
        <v>4.8753127482192606E-2</v>
      </c>
      <c r="AH12" s="20">
        <f>T12/$W$2</f>
        <v>0.10755439711319546</v>
      </c>
      <c r="AI12" s="20">
        <f>U12/$W$2</f>
        <v>0.1591024397049777</v>
      </c>
      <c r="AJ12" s="26"/>
    </row>
    <row r="13" spans="2:36" ht="22.5" customHeight="1">
      <c r="B13" s="7">
        <v>23</v>
      </c>
      <c r="C13" s="5" t="s">
        <v>6</v>
      </c>
      <c r="D13" s="5" t="s">
        <v>7</v>
      </c>
      <c r="E13" s="5" t="s">
        <v>0</v>
      </c>
      <c r="F13" s="5">
        <v>6166</v>
      </c>
      <c r="G13" s="13">
        <f>F13/$W$2</f>
        <v>3.9103771490902633E-2</v>
      </c>
      <c r="H13" s="5"/>
      <c r="J13" s="19">
        <v>12</v>
      </c>
      <c r="K13" s="19" t="s">
        <v>22</v>
      </c>
      <c r="L13" s="19" t="s">
        <v>7</v>
      </c>
      <c r="M13" s="19" t="s">
        <v>3</v>
      </c>
      <c r="N13" s="19">
        <f t="shared" ref="N13:N17" si="11">COUNTIFS($C$2:$C$487, K13, $D$2:$D$487, L13, $E$2:$E$487, M13)</f>
        <v>36</v>
      </c>
      <c r="O13" s="21">
        <f t="shared" ref="O13:O17" si="12">_xlfn.MAXIFS($F$2:$F$487,$C$2:$C$487,K13,$D$2:$D$487,L13,$E$2:$E$487,M13)</f>
        <v>47094</v>
      </c>
      <c r="P13" s="21">
        <f t="shared" ref="P13:P17" si="13">_xlfn.MINIFS($F$2:$F$487,$C$2:$C$487,K13,$D$2:$D$487,L13,$E$2:$E$487,M13)</f>
        <v>5254</v>
      </c>
      <c r="Q13" s="21">
        <f t="shared" ref="Q13:Q17" si="14">AVERAGEIFS($F$2:$F$487,$C$2:$C$487,K13,$D$2:$D$487,L13,$E$2:$E$487,M13)</f>
        <v>20047.638888888891</v>
      </c>
      <c r="R13" s="21" cm="1">
        <f t="array" ref="R13">MEDIAN(_xlfn._xlws.FILTER($F$2:$F$487,($C$2:$C$487=K13)*($D$2:$D$487=L13)*($E$2:$E$487=M13)))</f>
        <v>16195.5</v>
      </c>
      <c r="S13" s="22" cm="1">
        <f t="array" ref="S13">_xlfn.STDEV.S(_xlfn._xlws.FILTER($F$2:$F$487,($C$2:$C$487=K13)*($D$2:$D$487=L13)*($E$2:$E$487=M13)))</f>
        <v>11311.057902153671</v>
      </c>
      <c r="T13" s="19" cm="1">
        <f t="array" ref="T13">IFERROR(_xlfn.QUARTILE.INC(_xlfn._xlws.FILTER($F$2:$F$487,($C$2:$C$487=K13)*($D$2:$D$487=L13)*($E$2:$E$487=M13)),1),"")</f>
        <v>12086.75</v>
      </c>
      <c r="U13" s="19" cm="1">
        <f t="array" ref="U13">IFERROR(_xlfn.QUARTILE.INC(_xlfn._xlws.FILTER($F$2:$F$487,($C$2:$C$487=K13)*($D$2:$D$487=L13)*($E$2:$E$487=M13)),3),"")</f>
        <v>23285</v>
      </c>
      <c r="V13" s="20">
        <f t="shared" ref="V13:V17" si="15">IFERROR(COUNTIFS($C$2:$C$487,K13,$D$2:$D$487,L13,$E$2:$E$487,M13,$G$2:$G$487,"&gt;0.25")/COUNTIFS($C$2:$C$487,K13,$D$2:$D$487,L13,$E$2:$E$487,M13),0)</f>
        <v>0.1111111111111111</v>
      </c>
      <c r="Z13" s="19" t="s">
        <v>7</v>
      </c>
      <c r="AA13" s="19" t="s">
        <v>3</v>
      </c>
      <c r="AB13" s="19"/>
      <c r="AC13" s="20">
        <f>O13/$W$2</f>
        <v>0.2986625064211107</v>
      </c>
      <c r="AD13" s="20">
        <f>P13/$W$2</f>
        <v>3.3320015474084079E-2</v>
      </c>
      <c r="AE13" s="20">
        <f>Q13/$W$2</f>
        <v>0.12713887285813238</v>
      </c>
      <c r="AF13" s="20">
        <f>R13/$W$2</f>
        <v>0.10270923308156238</v>
      </c>
      <c r="AG13" s="20">
        <f>S13/$W$2</f>
        <v>7.1732893857636343E-2</v>
      </c>
      <c r="AH13" s="20">
        <f>T13/$W$2</f>
        <v>7.6652207276624626E-2</v>
      </c>
      <c r="AI13" s="20">
        <f>U13/$W$2</f>
        <v>0.14766969172326758</v>
      </c>
      <c r="AJ13" s="26"/>
    </row>
    <row r="14" spans="2:36" ht="22.5" customHeight="1">
      <c r="B14" s="7">
        <v>24</v>
      </c>
      <c r="C14" s="5"/>
      <c r="D14" s="5"/>
      <c r="E14" s="5"/>
      <c r="F14" s="5"/>
      <c r="G14" s="13"/>
      <c r="H14" s="5"/>
      <c r="J14" s="19">
        <v>13</v>
      </c>
      <c r="K14" s="19" t="s">
        <v>22</v>
      </c>
      <c r="L14" s="19" t="s">
        <v>8</v>
      </c>
      <c r="M14" s="19" t="s">
        <v>3</v>
      </c>
      <c r="N14" s="19">
        <f t="shared" si="11"/>
        <v>27</v>
      </c>
      <c r="O14" s="21">
        <f t="shared" si="12"/>
        <v>33755</v>
      </c>
      <c r="P14" s="21">
        <f t="shared" si="13"/>
        <v>7607</v>
      </c>
      <c r="Q14" s="21">
        <f t="shared" si="14"/>
        <v>19077.370370370369</v>
      </c>
      <c r="R14" s="21" cm="1">
        <f t="array" ref="R14">MEDIAN(_xlfn._xlws.FILTER($F$2:$F$487,($C$2:$C$487=K14)*($D$2:$D$487=L14)*($E$2:$E$487=M14)))</f>
        <v>19226</v>
      </c>
      <c r="S14" s="22" cm="1">
        <f t="array" ref="S14">_xlfn.STDEV.S(_xlfn._xlws.FILTER($F$2:$F$487,($C$2:$C$487=K14)*($D$2:$D$487=L14)*($E$2:$E$487=M14)))</f>
        <v>7560.2978428719662</v>
      </c>
      <c r="T14" s="19" cm="1">
        <f t="array" ref="T14">IFERROR(_xlfn.QUARTILE.INC(_xlfn._xlws.FILTER($F$2:$F$487,($C$2:$C$487=K14)*($D$2:$D$487=L14)*($E$2:$E$487=M14)),1),"")</f>
        <v>13172.5</v>
      </c>
      <c r="U14" s="19" cm="1">
        <f t="array" ref="U14">IFERROR(_xlfn.QUARTILE.INC(_xlfn._xlws.FILTER($F$2:$F$487,($C$2:$C$487=K14)*($D$2:$D$487=L14)*($E$2:$E$487=M14)),3),"")</f>
        <v>24011</v>
      </c>
      <c r="V14" s="20">
        <f t="shared" si="15"/>
        <v>0</v>
      </c>
      <c r="Z14" s="19" t="s">
        <v>8</v>
      </c>
      <c r="AA14" s="19" t="s">
        <v>3</v>
      </c>
      <c r="AB14" s="19"/>
      <c r="AC14" s="20">
        <f>O14/$W$2</f>
        <v>0.21406873283740163</v>
      </c>
      <c r="AD14" s="20">
        <f>P14/$W$2</f>
        <v>4.824235967098546E-2</v>
      </c>
      <c r="AE14" s="20">
        <f>Q14/$W$2</f>
        <v>0.12098558735165089</v>
      </c>
      <c r="AF14" s="20">
        <f>R14/$W$2</f>
        <v>0.12192817234578236</v>
      </c>
      <c r="AG14" s="20">
        <f>S14/$W$2</f>
        <v>4.7946182168477049E-2</v>
      </c>
      <c r="AH14" s="20">
        <f>T14/$W$2</f>
        <v>8.3537857600375437E-2</v>
      </c>
      <c r="AI14" s="20">
        <f>U14/$W$2</f>
        <v>0.15227386592086656</v>
      </c>
      <c r="AJ14" s="26"/>
    </row>
    <row r="15" spans="2:36" ht="22.5" customHeight="1">
      <c r="B15" s="7">
        <v>25</v>
      </c>
      <c r="C15" s="5" t="s">
        <v>6</v>
      </c>
      <c r="D15" s="5" t="s">
        <v>7</v>
      </c>
      <c r="E15" s="5" t="s">
        <v>0</v>
      </c>
      <c r="F15" s="5">
        <v>20746</v>
      </c>
      <c r="G15" s="13">
        <f>F15/$W$2</f>
        <v>0.13156776570714662</v>
      </c>
      <c r="H15" s="5"/>
      <c r="J15" s="19">
        <v>14</v>
      </c>
      <c r="K15" s="19" t="s">
        <v>19</v>
      </c>
      <c r="L15" s="19" t="s">
        <v>8</v>
      </c>
      <c r="M15" s="19" t="s">
        <v>3</v>
      </c>
      <c r="N15" s="19">
        <f>COUNTIFS($C$2:$C$487, K15, $D$2:$D$487, L15, $E$2:$E$487, M15)</f>
        <v>16</v>
      </c>
      <c r="O15" s="21">
        <f>_xlfn.MAXIFS($F$2:$F$487,$C$2:$C$487,K15,$D$2:$D$487,L15,$E$2:$E$487,M15)</f>
        <v>50677</v>
      </c>
      <c r="P15" s="21">
        <f>_xlfn.MINIFS($F$2:$F$487,$C$2:$C$487,K15,$D$2:$D$487,L15,$E$2:$E$487,M15)</f>
        <v>7453</v>
      </c>
      <c r="Q15" s="21">
        <f>AVERAGEIFS($F$2:$F$487,$C$2:$C$487,K15,$D$2:$D$487,L15,$E$2:$E$487,M15)</f>
        <v>22678</v>
      </c>
      <c r="R15" s="21" cm="1">
        <f t="array" ref="R15">MEDIAN(_xlfn._xlws.FILTER($F$2:$F$487,($C$2:$C$487=K15)*($D$2:$D$487=L15)*($E$2:$E$487=M15)))</f>
        <v>19518</v>
      </c>
      <c r="S15" s="22" cm="1">
        <f t="array" ref="S15">_xlfn.STDEV.S(_xlfn._xlws.FILTER($F$2:$F$487,($C$2:$C$487=K15)*($D$2:$D$487=L15)*($E$2:$E$487=M15)))</f>
        <v>12281.227289376795</v>
      </c>
      <c r="T15" s="19" cm="1">
        <f t="array" ref="T15">IFERROR(_xlfn.QUARTILE.INC(_xlfn._xlws.FILTER($F$2:$F$487,($C$2:$C$487=K15)*($D$2:$D$487=L15)*($E$2:$E$487=M15)),1),"")</f>
        <v>13429.75</v>
      </c>
      <c r="U15" s="19" cm="1">
        <f t="array" ref="U15">IFERROR(_xlfn.QUARTILE.INC(_xlfn._xlws.FILTER($F$2:$F$487,($C$2:$C$487=K15)*($D$2:$D$487=L15)*($E$2:$E$487=M15)),3),"")</f>
        <v>28292</v>
      </c>
      <c r="V15" s="20">
        <f>IFERROR(COUNTIFS($C$2:$C$487,K15,$D$2:$D$487,L15,$E$2:$E$487,M15,$G$2:$G$487,"&gt;0.25")/COUNTIFS($C$2:$C$487,K15,$D$2:$D$487,L15,$E$2:$E$487,M15),0)</f>
        <v>0.125</v>
      </c>
      <c r="Z15" s="19" t="s">
        <v>8</v>
      </c>
      <c r="AA15" s="19" t="s">
        <v>3</v>
      </c>
      <c r="AB15" s="19"/>
      <c r="AC15" s="20">
        <f>O15/$W$2</f>
        <v>0.32138531103543183</v>
      </c>
      <c r="AD15" s="20">
        <f>P15/$W$2</f>
        <v>4.7265716659373555E-2</v>
      </c>
      <c r="AE15" s="20">
        <f>Q15/$W$2</f>
        <v>0.14382019621645961</v>
      </c>
      <c r="AF15" s="20">
        <f>R15/$W$2</f>
        <v>0.12377998896520234</v>
      </c>
      <c r="AG15" s="20">
        <f>S15/$W$2</f>
        <v>7.7885550689527697E-2</v>
      </c>
      <c r="AH15" s="20">
        <f>T15/$W$2</f>
        <v>8.5169295358408961E-2</v>
      </c>
      <c r="AI15" s="20">
        <f>U15/$W$2</f>
        <v>0.17942327327612995</v>
      </c>
      <c r="AJ15" s="26"/>
    </row>
    <row r="16" spans="2:36" ht="22.5" customHeight="1">
      <c r="B16" s="7">
        <v>26</v>
      </c>
      <c r="C16" s="5" t="s">
        <v>6</v>
      </c>
      <c r="D16" s="5" t="s">
        <v>7</v>
      </c>
      <c r="E16" s="5" t="s">
        <v>0</v>
      </c>
      <c r="F16" s="5">
        <v>17202</v>
      </c>
      <c r="G16" s="13">
        <f>F16/$W$2</f>
        <v>0.10909229276459732</v>
      </c>
      <c r="H16" s="5"/>
      <c r="J16" s="19">
        <v>15</v>
      </c>
      <c r="K16" s="19" t="s">
        <v>18</v>
      </c>
      <c r="L16" s="19" t="s">
        <v>18</v>
      </c>
      <c r="M16" s="19" t="s">
        <v>18</v>
      </c>
      <c r="N16" s="19">
        <f>COUNTIFS($C$2:$C$487, K16, $D$2:$D$487, L16, $E$2:$E$487, M16)</f>
        <v>81</v>
      </c>
      <c r="O16" s="21">
        <f>_xlfn.MAXIFS($F$2:$F$487,$C$2:$C$487,K16,$D$2:$D$487,L16,$E$2:$E$487,M16)</f>
        <v>43175</v>
      </c>
      <c r="P16" s="21">
        <f>_xlfn.MINIFS($F$2:$F$487,$C$2:$C$487,K16,$D$2:$D$487,L16,$E$2:$E$487,M16)</f>
        <v>5436</v>
      </c>
      <c r="Q16" s="21">
        <f>AVERAGEIFS($F$2:$F$487,$C$2:$C$487,K16,$D$2:$D$487,L16,$E$2:$E$487,M16)</f>
        <v>20531.543209876545</v>
      </c>
      <c r="R16" s="21" cm="1">
        <f t="array" ref="R16">MEDIAN(_xlfn._xlws.FILTER($F$2:$F$487,($C$2:$C$487=K16)*($D$2:$D$487=L16)*($E$2:$E$487=M16)))</f>
        <v>18525</v>
      </c>
      <c r="S16" s="22" cm="1">
        <f t="array" ref="S16">_xlfn.STDEV.S(_xlfn._xlws.FILTER($F$2:$F$487,($C$2:$C$487=K16)*($D$2:$D$487=L16)*($E$2:$E$487=M16)))</f>
        <v>8486.121172316276</v>
      </c>
      <c r="T16" s="19" cm="1">
        <f t="array" ref="T16">IFERROR(_xlfn.QUARTILE.INC(_xlfn._xlws.FILTER($F$2:$F$487,($C$2:$C$487=K16)*($D$2:$D$487=L16)*($E$2:$E$487=M16)),1),"")</f>
        <v>14414</v>
      </c>
      <c r="U16" s="19" cm="1">
        <f t="array" ref="U16">IFERROR(_xlfn.QUARTILE.INC(_xlfn._xlws.FILTER($F$2:$F$487,($C$2:$C$487=K16)*($D$2:$D$487=L16)*($E$2:$E$487=M16)),3),"")</f>
        <v>27241</v>
      </c>
      <c r="V16" s="20">
        <f>IFERROR(COUNTIFS($C$2:$C$487,K16,$D$2:$D$487,L16,$E$2:$E$487,M16,$G$2:$G$487,"&gt;0.25")/COUNTIFS($C$2:$C$487,K16,$D$2:$D$487,L16,$E$2:$E$487,M16),0)</f>
        <v>2.4691358024691357E-2</v>
      </c>
      <c r="Z16" s="19" t="s">
        <v>18</v>
      </c>
      <c r="AA16" s="19" t="s">
        <v>18</v>
      </c>
      <c r="AB16" s="19"/>
      <c r="AC16" s="20">
        <f>O16/$W$2</f>
        <v>0.27380884432690905</v>
      </c>
      <c r="AD16" s="20">
        <f>P16/$W$2</f>
        <v>3.4474229942352698E-2</v>
      </c>
      <c r="AE16" s="20">
        <f>Q16/$W$2</f>
        <v>0.13020771554242719</v>
      </c>
      <c r="AF16" s="20">
        <f>R16/$W$2</f>
        <v>0.11748254409162687</v>
      </c>
      <c r="AG16" s="20">
        <f>S16/$W$2</f>
        <v>5.381760349762673E-2</v>
      </c>
      <c r="AH16" s="20">
        <f>T16/$W$2</f>
        <v>9.14112491517792E-2</v>
      </c>
      <c r="AI16" s="20">
        <f>U16/$W$2</f>
        <v>0.1727580018137656</v>
      </c>
      <c r="AJ16" s="26"/>
    </row>
    <row r="17" spans="2:22" ht="22.5" customHeight="1">
      <c r="B17" s="7">
        <v>27</v>
      </c>
      <c r="C17" s="5" t="s">
        <v>6</v>
      </c>
      <c r="D17" s="5" t="s">
        <v>7</v>
      </c>
      <c r="E17" s="5" t="s">
        <v>0</v>
      </c>
      <c r="F17" s="5">
        <v>11558</v>
      </c>
      <c r="G17" s="13">
        <f>F17/$W$2</f>
        <v>7.329896057279478E-2</v>
      </c>
      <c r="H17" s="5"/>
      <c r="J17" s="23"/>
      <c r="L17" s="23"/>
      <c r="M17" s="23"/>
      <c r="N17" s="23"/>
      <c r="O17" s="24"/>
      <c r="P17" s="24"/>
      <c r="Q17" s="24"/>
      <c r="R17" s="24"/>
      <c r="S17" s="23"/>
      <c r="T17" s="23"/>
      <c r="U17" s="23"/>
      <c r="V17" s="25"/>
    </row>
    <row r="18" spans="2:22" ht="22.5" customHeight="1">
      <c r="B18" s="7">
        <v>28</v>
      </c>
      <c r="C18" s="5" t="s">
        <v>6</v>
      </c>
      <c r="D18" s="5" t="s">
        <v>7</v>
      </c>
      <c r="E18" s="5" t="s">
        <v>0</v>
      </c>
      <c r="F18" s="5">
        <v>31183</v>
      </c>
      <c r="G18" s="13">
        <f>F18/$W$2</f>
        <v>0.19775752617593526</v>
      </c>
      <c r="H18" s="5"/>
      <c r="J18" s="23"/>
      <c r="K18" s="23"/>
      <c r="L18" s="23"/>
      <c r="M18" s="23"/>
      <c r="N18" s="23"/>
      <c r="O18" s="24"/>
      <c r="P18" s="24"/>
      <c r="Q18" s="24"/>
      <c r="R18" s="24"/>
      <c r="S18" s="23"/>
      <c r="T18" s="23"/>
      <c r="U18" s="23"/>
      <c r="V18" s="26"/>
    </row>
    <row r="19" spans="2:22" ht="22.5" customHeight="1">
      <c r="B19" s="7">
        <v>29</v>
      </c>
      <c r="C19" s="5"/>
      <c r="D19" s="5"/>
      <c r="E19" s="5"/>
      <c r="F19" s="5"/>
      <c r="G19" s="13"/>
      <c r="H19" s="5"/>
    </row>
    <row r="20" spans="2:22" s="29" customFormat="1" ht="22.5" customHeight="1">
      <c r="B20" s="32">
        <v>31</v>
      </c>
      <c r="C20" s="27" t="s">
        <v>6</v>
      </c>
      <c r="D20" s="27" t="s">
        <v>7</v>
      </c>
      <c r="E20" s="27" t="s">
        <v>0</v>
      </c>
      <c r="F20" s="27">
        <v>18941</v>
      </c>
      <c r="G20" s="28">
        <f t="shared" ref="G20:G51" si="16">F20/$W$2</f>
        <v>0.12012074859052656</v>
      </c>
      <c r="H20" s="27"/>
      <c r="J20" s="30"/>
      <c r="K20" s="30"/>
    </row>
    <row r="21" spans="2:22" ht="22.5" customHeight="1">
      <c r="B21" s="7">
        <v>32</v>
      </c>
      <c r="C21" s="5" t="s">
        <v>6</v>
      </c>
      <c r="D21" s="5" t="s">
        <v>7</v>
      </c>
      <c r="E21" s="5" t="s">
        <v>0</v>
      </c>
      <c r="F21" s="5">
        <v>9178</v>
      </c>
      <c r="G21" s="13">
        <f t="shared" si="16"/>
        <v>5.8205386756974439E-2</v>
      </c>
      <c r="H21" s="5"/>
    </row>
    <row r="22" spans="2:22" ht="22.5" customHeight="1">
      <c r="B22" s="7">
        <v>33</v>
      </c>
      <c r="C22" s="5" t="s">
        <v>6</v>
      </c>
      <c r="D22" s="5" t="s">
        <v>7</v>
      </c>
      <c r="E22" s="5" t="s">
        <v>0</v>
      </c>
      <c r="F22" s="5">
        <v>49555</v>
      </c>
      <c r="G22" s="13">
        <f t="shared" si="16"/>
        <v>0.31426976909368798</v>
      </c>
      <c r="H22" s="5"/>
    </row>
    <row r="23" spans="2:22" ht="22.5" customHeight="1">
      <c r="B23" s="7">
        <v>34</v>
      </c>
      <c r="C23" s="5" t="s">
        <v>6</v>
      </c>
      <c r="D23" s="5" t="s">
        <v>7</v>
      </c>
      <c r="E23" s="5" t="s">
        <v>0</v>
      </c>
      <c r="F23" s="5">
        <v>6441</v>
      </c>
      <c r="G23" s="13">
        <f t="shared" si="16"/>
        <v>4.0847776868781036E-2</v>
      </c>
      <c r="H23" s="5"/>
    </row>
    <row r="24" spans="2:22" ht="22.5" customHeight="1">
      <c r="B24" s="7">
        <v>35</v>
      </c>
      <c r="C24" s="5" t="s">
        <v>6</v>
      </c>
      <c r="D24" s="5" t="s">
        <v>7</v>
      </c>
      <c r="E24" s="5" t="s">
        <v>0</v>
      </c>
      <c r="F24" s="5">
        <v>47099</v>
      </c>
      <c r="G24" s="13">
        <f t="shared" si="16"/>
        <v>0.29869421560979942</v>
      </c>
      <c r="H24" s="5"/>
    </row>
    <row r="25" spans="2:22" ht="22.5" customHeight="1">
      <c r="B25" s="7">
        <v>36</v>
      </c>
      <c r="C25" s="5" t="s">
        <v>6</v>
      </c>
      <c r="D25" s="5" t="s">
        <v>7</v>
      </c>
      <c r="E25" s="5" t="s">
        <v>0</v>
      </c>
      <c r="F25" s="5">
        <v>49193</v>
      </c>
      <c r="G25" s="13">
        <f t="shared" si="16"/>
        <v>0.31197402383262623</v>
      </c>
      <c r="H25" s="5"/>
    </row>
    <row r="26" spans="2:22" ht="22.5" customHeight="1">
      <c r="B26" s="7">
        <v>37</v>
      </c>
      <c r="C26" s="5" t="s">
        <v>6</v>
      </c>
      <c r="D26" s="5" t="s">
        <v>7</v>
      </c>
      <c r="E26" s="5" t="s">
        <v>0</v>
      </c>
      <c r="F26" s="5">
        <v>8741</v>
      </c>
      <c r="G26" s="13">
        <f t="shared" si="16"/>
        <v>5.543400366558221E-2</v>
      </c>
      <c r="H26" s="5"/>
    </row>
    <row r="27" spans="2:22" ht="22.5" customHeight="1">
      <c r="B27" s="7">
        <v>38</v>
      </c>
      <c r="C27" s="5" t="s">
        <v>6</v>
      </c>
      <c r="D27" s="5" t="s">
        <v>7</v>
      </c>
      <c r="E27" s="5" t="s">
        <v>0</v>
      </c>
      <c r="F27" s="5">
        <v>42843</v>
      </c>
      <c r="G27" s="13">
        <f t="shared" si="16"/>
        <v>0.27170335419797947</v>
      </c>
      <c r="H27" s="5"/>
    </row>
    <row r="28" spans="2:22" ht="22.5" customHeight="1">
      <c r="B28" s="7">
        <v>39</v>
      </c>
      <c r="C28" s="5" t="s">
        <v>6</v>
      </c>
      <c r="D28" s="5" t="s">
        <v>7</v>
      </c>
      <c r="E28" s="5" t="s">
        <v>0</v>
      </c>
      <c r="F28" s="5">
        <v>16944</v>
      </c>
      <c r="G28" s="13">
        <f t="shared" si="16"/>
        <v>0.1074560986282605</v>
      </c>
      <c r="H28" s="5"/>
    </row>
    <row r="29" spans="2:22" ht="22.5" customHeight="1">
      <c r="B29" s="7">
        <v>41</v>
      </c>
      <c r="C29" s="5" t="s">
        <v>6</v>
      </c>
      <c r="D29" s="5" t="s">
        <v>8</v>
      </c>
      <c r="E29" s="5" t="s">
        <v>0</v>
      </c>
      <c r="F29" s="5">
        <v>10217</v>
      </c>
      <c r="G29" s="13">
        <f t="shared" si="16"/>
        <v>6.4794556166485925E-2</v>
      </c>
      <c r="H29" s="5"/>
    </row>
    <row r="30" spans="2:22" ht="22.5" customHeight="1">
      <c r="B30" s="7">
        <v>42</v>
      </c>
      <c r="C30" s="5" t="s">
        <v>6</v>
      </c>
      <c r="D30" s="5" t="s">
        <v>8</v>
      </c>
      <c r="E30" s="5" t="s">
        <v>0</v>
      </c>
      <c r="F30" s="5">
        <v>10566</v>
      </c>
      <c r="G30" s="13">
        <f t="shared" si="16"/>
        <v>6.7007857536957066E-2</v>
      </c>
      <c r="H30" s="5"/>
    </row>
    <row r="31" spans="2:22" ht="22.5" customHeight="1">
      <c r="B31" s="7">
        <v>43</v>
      </c>
      <c r="C31" s="5" t="s">
        <v>6</v>
      </c>
      <c r="D31" s="5" t="s">
        <v>8</v>
      </c>
      <c r="E31" s="5" t="s">
        <v>0</v>
      </c>
      <c r="F31" s="5">
        <v>45337</v>
      </c>
      <c r="G31" s="13">
        <f t="shared" si="16"/>
        <v>0.28751989751590218</v>
      </c>
      <c r="H31" s="5"/>
    </row>
    <row r="32" spans="2:22" ht="22.5" customHeight="1">
      <c r="B32" s="7">
        <v>44</v>
      </c>
      <c r="C32" s="5" t="s">
        <v>6</v>
      </c>
      <c r="D32" s="5" t="s">
        <v>8</v>
      </c>
      <c r="E32" s="5" t="s">
        <v>0</v>
      </c>
      <c r="F32" s="5">
        <v>21682</v>
      </c>
      <c r="G32" s="13">
        <f t="shared" si="16"/>
        <v>0.13750372582967091</v>
      </c>
      <c r="H32" s="5"/>
    </row>
    <row r="33" spans="2:22" ht="22.5" customHeight="1">
      <c r="B33" s="7">
        <v>45</v>
      </c>
      <c r="C33" s="5" t="s">
        <v>6</v>
      </c>
      <c r="D33" s="5" t="s">
        <v>8</v>
      </c>
      <c r="E33" s="5" t="s">
        <v>0</v>
      </c>
      <c r="F33" s="5">
        <v>30051</v>
      </c>
      <c r="G33" s="13">
        <f t="shared" si="16"/>
        <v>0.19057856585681399</v>
      </c>
      <c r="H33" s="5"/>
    </row>
    <row r="34" spans="2:22" ht="22.5" customHeight="1">
      <c r="B34" s="7">
        <v>46</v>
      </c>
      <c r="C34" s="5" t="s">
        <v>6</v>
      </c>
      <c r="D34" s="5" t="s">
        <v>8</v>
      </c>
      <c r="E34" s="5" t="s">
        <v>0</v>
      </c>
      <c r="F34" s="5">
        <v>57045</v>
      </c>
      <c r="G34" s="13">
        <f t="shared" si="16"/>
        <v>0.3617701337493579</v>
      </c>
      <c r="H34" s="5"/>
    </row>
    <row r="35" spans="2:22" ht="22.5" customHeight="1">
      <c r="B35" s="7">
        <v>47</v>
      </c>
      <c r="C35" s="5" t="s">
        <v>6</v>
      </c>
      <c r="D35" s="5" t="s">
        <v>8</v>
      </c>
      <c r="E35" s="5" t="s">
        <v>0</v>
      </c>
      <c r="F35" s="5">
        <v>15368</v>
      </c>
      <c r="G35" s="13">
        <f t="shared" si="16"/>
        <v>9.7461362353582826E-2</v>
      </c>
      <c r="H35" s="5"/>
    </row>
    <row r="36" spans="2:22" ht="22.5" customHeight="1">
      <c r="B36" s="7">
        <v>48</v>
      </c>
      <c r="C36" s="5" t="s">
        <v>6</v>
      </c>
      <c r="D36" s="5" t="s">
        <v>8</v>
      </c>
      <c r="E36" s="5" t="s">
        <v>0</v>
      </c>
      <c r="F36" s="5">
        <v>16338</v>
      </c>
      <c r="G36" s="13">
        <f t="shared" si="16"/>
        <v>0.10361294495919027</v>
      </c>
      <c r="H36" s="5"/>
      <c r="L36" s="23"/>
      <c r="M36" s="23"/>
      <c r="N36" s="23"/>
      <c r="O36" s="21"/>
      <c r="P36" s="21"/>
      <c r="Q36" s="21"/>
      <c r="R36" s="21"/>
      <c r="S36" s="21"/>
      <c r="T36" s="21"/>
      <c r="U36" s="21"/>
      <c r="V36" s="25"/>
    </row>
    <row r="37" spans="2:22" ht="22.5" customHeight="1">
      <c r="B37" s="7">
        <v>49</v>
      </c>
      <c r="C37" s="5" t="s">
        <v>6</v>
      </c>
      <c r="D37" s="5" t="s">
        <v>8</v>
      </c>
      <c r="E37" s="5" t="s">
        <v>0</v>
      </c>
      <c r="F37" s="5">
        <v>41842</v>
      </c>
      <c r="G37" s="13">
        <f t="shared" si="16"/>
        <v>0.26535517462250213</v>
      </c>
      <c r="H37" s="5"/>
      <c r="L37" s="23"/>
      <c r="M37" s="23"/>
      <c r="N37" s="23"/>
      <c r="O37" s="21"/>
      <c r="P37" s="21"/>
      <c r="Q37" s="21"/>
      <c r="R37" s="21"/>
      <c r="S37" s="21"/>
      <c r="T37" s="21"/>
      <c r="U37" s="21"/>
      <c r="V37" s="26"/>
    </row>
    <row r="38" spans="2:22" ht="22.5" customHeight="1">
      <c r="B38" s="7">
        <v>51</v>
      </c>
      <c r="C38" s="5" t="s">
        <v>6</v>
      </c>
      <c r="D38" s="5" t="s">
        <v>8</v>
      </c>
      <c r="E38" s="5" t="s">
        <v>0</v>
      </c>
      <c r="F38" s="5">
        <v>13202</v>
      </c>
      <c r="G38" s="13">
        <f t="shared" si="16"/>
        <v>8.3724941813638751E-2</v>
      </c>
      <c r="H38" s="5"/>
    </row>
    <row r="39" spans="2:22" ht="22.5" customHeight="1">
      <c r="B39" s="7">
        <v>52</v>
      </c>
      <c r="C39" s="5" t="s">
        <v>6</v>
      </c>
      <c r="D39" s="5" t="s">
        <v>8</v>
      </c>
      <c r="E39" s="5" t="s">
        <v>0</v>
      </c>
      <c r="F39" s="5">
        <v>43580</v>
      </c>
      <c r="G39" s="13">
        <f t="shared" si="16"/>
        <v>0.27637728861069361</v>
      </c>
      <c r="H39" s="5"/>
    </row>
    <row r="40" spans="2:22" ht="22.5" customHeight="1">
      <c r="B40" s="7">
        <v>53</v>
      </c>
      <c r="C40" s="5" t="s">
        <v>6</v>
      </c>
      <c r="D40" s="5" t="s">
        <v>8</v>
      </c>
      <c r="E40" s="5" t="s">
        <v>0</v>
      </c>
      <c r="F40" s="5">
        <v>21324</v>
      </c>
      <c r="G40" s="13">
        <f t="shared" si="16"/>
        <v>0.13523334791956013</v>
      </c>
      <c r="H40" s="5"/>
    </row>
    <row r="41" spans="2:22" ht="22.5" customHeight="1">
      <c r="B41" s="7">
        <v>54</v>
      </c>
      <c r="C41" s="5" t="s">
        <v>6</v>
      </c>
      <c r="D41" s="5" t="s">
        <v>8</v>
      </c>
      <c r="E41" s="5" t="s">
        <v>0</v>
      </c>
      <c r="F41" s="5">
        <v>33591</v>
      </c>
      <c r="G41" s="13">
        <f t="shared" si="16"/>
        <v>0.21302867144841231</v>
      </c>
      <c r="H41" s="5"/>
    </row>
    <row r="42" spans="2:22" ht="22.5" customHeight="1">
      <c r="B42" s="7">
        <v>55</v>
      </c>
      <c r="C42" s="5" t="s">
        <v>6</v>
      </c>
      <c r="D42" s="5" t="s">
        <v>8</v>
      </c>
      <c r="E42" s="5" t="s">
        <v>0</v>
      </c>
      <c r="F42" s="5">
        <v>7394</v>
      </c>
      <c r="G42" s="13">
        <f t="shared" si="16"/>
        <v>4.6891548232846914E-2</v>
      </c>
      <c r="H42" s="5"/>
    </row>
    <row r="43" spans="2:22" ht="22.5" customHeight="1">
      <c r="B43" s="7">
        <v>56</v>
      </c>
      <c r="C43" s="5" t="s">
        <v>6</v>
      </c>
      <c r="D43" s="5" t="s">
        <v>8</v>
      </c>
      <c r="E43" s="5" t="s">
        <v>0</v>
      </c>
      <c r="F43" s="5">
        <v>22268</v>
      </c>
      <c r="G43" s="13">
        <f t="shared" si="16"/>
        <v>0.14122004274398636</v>
      </c>
      <c r="H43" s="5"/>
    </row>
    <row r="44" spans="2:22" ht="22.5" customHeight="1">
      <c r="B44" s="7">
        <v>57</v>
      </c>
      <c r="C44" s="5" t="s">
        <v>6</v>
      </c>
      <c r="D44" s="5" t="s">
        <v>8</v>
      </c>
      <c r="E44" s="5" t="s">
        <v>0</v>
      </c>
      <c r="F44" s="5">
        <v>9206</v>
      </c>
      <c r="G44" s="13">
        <f t="shared" si="16"/>
        <v>5.8382958213631146E-2</v>
      </c>
      <c r="H44" s="5"/>
    </row>
    <row r="45" spans="2:22" ht="22.5" customHeight="1">
      <c r="B45" s="7">
        <v>58</v>
      </c>
      <c r="C45" s="5" t="s">
        <v>6</v>
      </c>
      <c r="D45" s="5" t="s">
        <v>8</v>
      </c>
      <c r="E45" s="5" t="s">
        <v>0</v>
      </c>
      <c r="F45" s="5">
        <v>9466</v>
      </c>
      <c r="G45" s="13">
        <f t="shared" si="16"/>
        <v>6.0031836025443451E-2</v>
      </c>
      <c r="H45" s="5"/>
    </row>
    <row r="46" spans="2:22" ht="22.5" customHeight="1">
      <c r="B46" s="7">
        <v>59</v>
      </c>
      <c r="C46" s="5" t="s">
        <v>6</v>
      </c>
      <c r="D46" s="5" t="s">
        <v>8</v>
      </c>
      <c r="E46" s="5" t="s">
        <v>0</v>
      </c>
      <c r="F46" s="5">
        <v>25827</v>
      </c>
      <c r="G46" s="13">
        <f t="shared" si="16"/>
        <v>0.16379064325260173</v>
      </c>
      <c r="H46" s="5"/>
    </row>
    <row r="47" spans="2:22" ht="22.5" customHeight="1">
      <c r="B47" s="7">
        <v>61</v>
      </c>
      <c r="C47" s="5" t="s">
        <v>6</v>
      </c>
      <c r="D47" s="5" t="s">
        <v>8</v>
      </c>
      <c r="E47" s="5" t="s">
        <v>0</v>
      </c>
      <c r="F47" s="5">
        <v>25530</v>
      </c>
      <c r="G47" s="13">
        <f t="shared" si="16"/>
        <v>0.16190711744449307</v>
      </c>
      <c r="H47" s="5"/>
    </row>
    <row r="48" spans="2:22" ht="22.5" customHeight="1">
      <c r="B48" s="7">
        <v>62</v>
      </c>
      <c r="C48" s="5" t="s">
        <v>6</v>
      </c>
      <c r="D48" s="5" t="s">
        <v>8</v>
      </c>
      <c r="E48" s="5" t="s">
        <v>0</v>
      </c>
      <c r="F48" s="5">
        <v>45779</v>
      </c>
      <c r="G48" s="13">
        <f t="shared" si="16"/>
        <v>0.29032298979598309</v>
      </c>
      <c r="H48" s="5"/>
    </row>
    <row r="49" spans="2:8" ht="22.5" customHeight="1">
      <c r="B49" s="7">
        <v>63</v>
      </c>
      <c r="C49" s="5" t="s">
        <v>6</v>
      </c>
      <c r="D49" s="5" t="s">
        <v>8</v>
      </c>
      <c r="E49" s="5" t="s">
        <v>0</v>
      </c>
      <c r="F49" s="5">
        <v>16794</v>
      </c>
      <c r="G49" s="13">
        <f t="shared" si="16"/>
        <v>0.10650482296759956</v>
      </c>
      <c r="H49" s="5"/>
    </row>
    <row r="50" spans="2:8" ht="22.5" customHeight="1">
      <c r="B50" s="7">
        <v>64</v>
      </c>
      <c r="C50" s="5" t="s">
        <v>6</v>
      </c>
      <c r="D50" s="5" t="s">
        <v>8</v>
      </c>
      <c r="E50" s="5" t="s">
        <v>0</v>
      </c>
      <c r="F50" s="5">
        <v>14076</v>
      </c>
      <c r="G50" s="13">
        <f t="shared" si="16"/>
        <v>8.926770799642321E-2</v>
      </c>
      <c r="H50" s="5"/>
    </row>
    <row r="51" spans="2:8" ht="22.5" customHeight="1">
      <c r="B51" s="7">
        <v>65</v>
      </c>
      <c r="C51" s="5" t="s">
        <v>6</v>
      </c>
      <c r="D51" s="5" t="s">
        <v>8</v>
      </c>
      <c r="E51" s="5" t="s">
        <v>0</v>
      </c>
      <c r="F51" s="5">
        <v>12427</v>
      </c>
      <c r="G51" s="13">
        <f t="shared" si="16"/>
        <v>7.8810017566890531E-2</v>
      </c>
      <c r="H51" s="5"/>
    </row>
    <row r="52" spans="2:8" ht="22.5" customHeight="1">
      <c r="B52" s="7">
        <v>66</v>
      </c>
      <c r="C52" s="5" t="s">
        <v>6</v>
      </c>
      <c r="D52" s="5" t="s">
        <v>8</v>
      </c>
      <c r="E52" s="5" t="s">
        <v>0</v>
      </c>
      <c r="F52" s="5">
        <v>22854</v>
      </c>
      <c r="G52" s="13">
        <f t="shared" ref="G52:G83" si="17">F52/$W$2</f>
        <v>0.14493635965830179</v>
      </c>
      <c r="H52" s="5"/>
    </row>
    <row r="53" spans="2:8" ht="22.5" customHeight="1">
      <c r="B53" s="7">
        <v>67</v>
      </c>
      <c r="C53" s="5" t="s">
        <v>6</v>
      </c>
      <c r="D53" s="5" t="s">
        <v>8</v>
      </c>
      <c r="E53" s="5" t="s">
        <v>0</v>
      </c>
      <c r="F53" s="5">
        <v>22046</v>
      </c>
      <c r="G53" s="13">
        <f t="shared" si="17"/>
        <v>0.13981215476620815</v>
      </c>
      <c r="H53" s="5"/>
    </row>
    <row r="54" spans="2:8" ht="22.5" customHeight="1">
      <c r="B54" s="7">
        <v>68</v>
      </c>
      <c r="C54" s="5" t="s">
        <v>6</v>
      </c>
      <c r="D54" s="5" t="s">
        <v>8</v>
      </c>
      <c r="E54" s="5" t="s">
        <v>0</v>
      </c>
      <c r="F54" s="5">
        <v>35677</v>
      </c>
      <c r="G54" s="13">
        <f t="shared" si="17"/>
        <v>0.2262577449693372</v>
      </c>
      <c r="H54" s="5"/>
    </row>
    <row r="55" spans="2:8" ht="22.5" customHeight="1">
      <c r="B55" s="7">
        <v>69</v>
      </c>
      <c r="C55" s="5" t="s">
        <v>6</v>
      </c>
      <c r="D55" s="5" t="s">
        <v>8</v>
      </c>
      <c r="E55" s="5" t="s">
        <v>0</v>
      </c>
      <c r="F55" s="5">
        <v>36285</v>
      </c>
      <c r="G55" s="13">
        <f t="shared" si="17"/>
        <v>0.23011358231388293</v>
      </c>
      <c r="H55" s="5"/>
    </row>
    <row r="56" spans="2:8" ht="22.5" customHeight="1">
      <c r="B56" s="7">
        <v>71</v>
      </c>
      <c r="C56" s="5" t="s">
        <v>6</v>
      </c>
      <c r="D56" s="5" t="s">
        <v>9</v>
      </c>
      <c r="E56" s="5" t="s">
        <v>0</v>
      </c>
      <c r="F56" s="5">
        <v>10169</v>
      </c>
      <c r="G56" s="13">
        <f t="shared" si="17"/>
        <v>6.449014795507442E-2</v>
      </c>
      <c r="H56" s="5"/>
    </row>
    <row r="57" spans="2:8" ht="22.5" customHeight="1">
      <c r="B57" s="7">
        <v>72</v>
      </c>
      <c r="C57" s="5" t="s">
        <v>6</v>
      </c>
      <c r="D57" s="5" t="s">
        <v>9</v>
      </c>
      <c r="E57" s="5" t="s">
        <v>0</v>
      </c>
      <c r="F57" s="5">
        <v>27160</v>
      </c>
      <c r="G57" s="13">
        <f t="shared" si="17"/>
        <v>0.17224431295700868</v>
      </c>
      <c r="H57" s="5"/>
    </row>
    <row r="58" spans="2:8" ht="22.5" customHeight="1">
      <c r="B58" s="7">
        <v>73</v>
      </c>
      <c r="C58" s="5" t="s">
        <v>6</v>
      </c>
      <c r="D58" s="5" t="s">
        <v>9</v>
      </c>
      <c r="E58" s="5" t="s">
        <v>0</v>
      </c>
      <c r="F58" s="5">
        <v>11371</v>
      </c>
      <c r="G58" s="13">
        <f t="shared" si="17"/>
        <v>7.2113036915837467E-2</v>
      </c>
      <c r="H58" s="5"/>
    </row>
    <row r="59" spans="2:8" ht="22.5" customHeight="1">
      <c r="B59" s="7">
        <v>74</v>
      </c>
      <c r="C59" s="5" t="s">
        <v>6</v>
      </c>
      <c r="D59" s="5" t="s">
        <v>9</v>
      </c>
      <c r="E59" s="5" t="s">
        <v>0</v>
      </c>
      <c r="F59" s="5">
        <v>23621</v>
      </c>
      <c r="G59" s="13">
        <f t="shared" si="17"/>
        <v>0.14980054920314809</v>
      </c>
      <c r="H59" s="5"/>
    </row>
    <row r="60" spans="2:8" ht="22.5" customHeight="1">
      <c r="B60" s="7">
        <v>75</v>
      </c>
      <c r="C60" s="5" t="s">
        <v>6</v>
      </c>
      <c r="D60" s="5" t="s">
        <v>9</v>
      </c>
      <c r="E60" s="5" t="s">
        <v>0</v>
      </c>
      <c r="F60" s="5">
        <v>14034</v>
      </c>
      <c r="G60" s="13">
        <f t="shared" si="17"/>
        <v>8.9001350811438132E-2</v>
      </c>
      <c r="H60" s="5"/>
    </row>
    <row r="61" spans="2:8" ht="22.5" customHeight="1">
      <c r="B61" s="7">
        <v>76</v>
      </c>
      <c r="C61" s="5" t="s">
        <v>6</v>
      </c>
      <c r="D61" s="5" t="s">
        <v>9</v>
      </c>
      <c r="E61" s="5" t="s">
        <v>0</v>
      </c>
      <c r="F61" s="5">
        <v>8522</v>
      </c>
      <c r="G61" s="13">
        <f t="shared" si="17"/>
        <v>5.4045141201017229E-2</v>
      </c>
      <c r="H61" s="5"/>
    </row>
    <row r="62" spans="2:8" ht="22.5" customHeight="1">
      <c r="B62" s="7">
        <v>77</v>
      </c>
      <c r="C62" s="5" t="s">
        <v>6</v>
      </c>
      <c r="D62" s="5" t="s">
        <v>9</v>
      </c>
      <c r="E62" s="5" t="s">
        <v>0</v>
      </c>
      <c r="F62" s="5">
        <v>18386</v>
      </c>
      <c r="G62" s="13">
        <f t="shared" si="17"/>
        <v>0.11660102864608106</v>
      </c>
      <c r="H62" s="5"/>
    </row>
    <row r="63" spans="2:8" ht="22.5" customHeight="1">
      <c r="B63" s="7">
        <v>78</v>
      </c>
      <c r="C63" s="5" t="s">
        <v>6</v>
      </c>
      <c r="D63" s="5" t="s">
        <v>9</v>
      </c>
      <c r="E63" s="5" t="s">
        <v>0</v>
      </c>
      <c r="F63" s="5">
        <v>13946</v>
      </c>
      <c r="G63" s="13">
        <f t="shared" si="17"/>
        <v>8.8443269090517043E-2</v>
      </c>
      <c r="H63" s="5"/>
    </row>
    <row r="64" spans="2:8" ht="22.5" customHeight="1">
      <c r="B64" s="7">
        <v>79</v>
      </c>
      <c r="C64" s="5" t="s">
        <v>6</v>
      </c>
      <c r="D64" s="5" t="s">
        <v>9</v>
      </c>
      <c r="E64" s="5" t="s">
        <v>0</v>
      </c>
      <c r="F64" s="5">
        <v>39480</v>
      </c>
      <c r="G64" s="13">
        <f t="shared" si="17"/>
        <v>0.25037575388596106</v>
      </c>
      <c r="H64" s="5"/>
    </row>
    <row r="65" spans="2:8" ht="22.5" customHeight="1">
      <c r="B65" s="7">
        <v>81</v>
      </c>
      <c r="C65" s="5" t="s">
        <v>6</v>
      </c>
      <c r="D65" s="5" t="s">
        <v>9</v>
      </c>
      <c r="E65" s="5" t="s">
        <v>0</v>
      </c>
      <c r="F65" s="5">
        <v>41015</v>
      </c>
      <c r="G65" s="13">
        <f t="shared" si="17"/>
        <v>0.26011047481339145</v>
      </c>
      <c r="H65" s="5"/>
    </row>
    <row r="66" spans="2:8" ht="22.5" customHeight="1">
      <c r="B66" s="7">
        <v>82</v>
      </c>
      <c r="C66" s="5" t="s">
        <v>6</v>
      </c>
      <c r="D66" s="5" t="s">
        <v>9</v>
      </c>
      <c r="E66" s="5" t="s">
        <v>0</v>
      </c>
      <c r="F66" s="5">
        <v>37939</v>
      </c>
      <c r="G66" s="13">
        <f t="shared" si="17"/>
        <v>0.24060298193210428</v>
      </c>
      <c r="H66" s="5"/>
    </row>
    <row r="67" spans="2:8" ht="22.5" customHeight="1">
      <c r="B67" s="7">
        <v>83</v>
      </c>
      <c r="C67" s="5" t="s">
        <v>6</v>
      </c>
      <c r="D67" s="5" t="s">
        <v>9</v>
      </c>
      <c r="E67" s="5" t="s">
        <v>0</v>
      </c>
      <c r="F67" s="5">
        <v>32446</v>
      </c>
      <c r="G67" s="13">
        <f t="shared" si="17"/>
        <v>0.20576726723870042</v>
      </c>
      <c r="H67" s="5"/>
    </row>
    <row r="68" spans="2:8" ht="22.5" customHeight="1">
      <c r="B68" s="7">
        <v>84</v>
      </c>
      <c r="C68" s="5" t="s">
        <v>6</v>
      </c>
      <c r="D68" s="5" t="s">
        <v>9</v>
      </c>
      <c r="E68" s="5" t="s">
        <v>0</v>
      </c>
      <c r="F68" s="5">
        <v>16884</v>
      </c>
      <c r="G68" s="13">
        <f t="shared" si="17"/>
        <v>0.10707558836399612</v>
      </c>
      <c r="H68" s="5"/>
    </row>
    <row r="69" spans="2:8" ht="22.5" customHeight="1">
      <c r="B69" s="7">
        <v>85</v>
      </c>
      <c r="C69" s="5" t="s">
        <v>6</v>
      </c>
      <c r="D69" s="5" t="s">
        <v>9</v>
      </c>
      <c r="E69" s="5" t="s">
        <v>0</v>
      </c>
      <c r="F69" s="5">
        <v>17416</v>
      </c>
      <c r="G69" s="13">
        <f t="shared" si="17"/>
        <v>0.1104494460404736</v>
      </c>
      <c r="H69" s="5"/>
    </row>
    <row r="70" spans="2:8" ht="22.5" customHeight="1">
      <c r="B70" s="7">
        <v>86</v>
      </c>
      <c r="C70" s="5" t="s">
        <v>6</v>
      </c>
      <c r="D70" s="5" t="s">
        <v>9</v>
      </c>
      <c r="E70" s="5" t="s">
        <v>0</v>
      </c>
      <c r="F70" s="5">
        <v>17280</v>
      </c>
      <c r="G70" s="13">
        <f t="shared" si="17"/>
        <v>0.10958695610814102</v>
      </c>
      <c r="H70" s="5"/>
    </row>
    <row r="71" spans="2:8" ht="22.5" customHeight="1">
      <c r="B71" s="7">
        <v>87</v>
      </c>
      <c r="C71" s="5" t="s">
        <v>6</v>
      </c>
      <c r="D71" s="5" t="s">
        <v>9</v>
      </c>
      <c r="E71" s="5" t="s">
        <v>0</v>
      </c>
      <c r="F71" s="5">
        <v>12363</v>
      </c>
      <c r="G71" s="13">
        <f t="shared" si="17"/>
        <v>7.8404139951675195E-2</v>
      </c>
      <c r="H71" s="5"/>
    </row>
    <row r="72" spans="2:8" ht="22.5" customHeight="1">
      <c r="B72" s="7">
        <v>88</v>
      </c>
      <c r="C72" s="5" t="s">
        <v>6</v>
      </c>
      <c r="D72" s="5" t="s">
        <v>9</v>
      </c>
      <c r="E72" s="5" t="s">
        <v>0</v>
      </c>
      <c r="F72" s="5">
        <v>11950</v>
      </c>
      <c r="G72" s="13">
        <f t="shared" si="17"/>
        <v>7.5784960965988718E-2</v>
      </c>
      <c r="H72" s="5"/>
    </row>
    <row r="73" spans="2:8" ht="22.5" customHeight="1">
      <c r="B73" s="7">
        <v>89</v>
      </c>
      <c r="C73" s="5" t="s">
        <v>6</v>
      </c>
      <c r="D73" s="5" t="s">
        <v>9</v>
      </c>
      <c r="E73" s="5" t="s">
        <v>0</v>
      </c>
      <c r="F73" s="5">
        <v>17440</v>
      </c>
      <c r="G73" s="13">
        <f t="shared" si="17"/>
        <v>0.11060165014617936</v>
      </c>
      <c r="H73" s="5"/>
    </row>
    <row r="74" spans="2:8" ht="22.5" customHeight="1">
      <c r="B74" s="7">
        <v>91</v>
      </c>
      <c r="C74" s="5" t="s">
        <v>6</v>
      </c>
      <c r="D74" s="5" t="s">
        <v>9</v>
      </c>
      <c r="E74" s="5" t="s">
        <v>0</v>
      </c>
      <c r="F74" s="5">
        <v>32880</v>
      </c>
      <c r="G74" s="13">
        <f t="shared" si="17"/>
        <v>0.20851962481687944</v>
      </c>
      <c r="H74" s="5"/>
    </row>
    <row r="75" spans="2:8" ht="22.5" customHeight="1">
      <c r="B75" s="7">
        <v>92</v>
      </c>
      <c r="C75" s="5" t="s">
        <v>6</v>
      </c>
      <c r="D75" s="5" t="s">
        <v>9</v>
      </c>
      <c r="E75" s="5" t="s">
        <v>0</v>
      </c>
      <c r="F75" s="5">
        <v>29985</v>
      </c>
      <c r="G75" s="13">
        <f t="shared" si="17"/>
        <v>0.19016000456612317</v>
      </c>
      <c r="H75" s="5"/>
    </row>
    <row r="76" spans="2:8" ht="22.5" customHeight="1">
      <c r="B76" s="7">
        <v>93</v>
      </c>
      <c r="C76" s="5" t="s">
        <v>6</v>
      </c>
      <c r="D76" s="5" t="s">
        <v>9</v>
      </c>
      <c r="E76" s="5" t="s">
        <v>0</v>
      </c>
      <c r="F76" s="5">
        <v>26056</v>
      </c>
      <c r="G76" s="13">
        <f t="shared" si="17"/>
        <v>0.16524292409454411</v>
      </c>
      <c r="H76" s="5"/>
    </row>
    <row r="77" spans="2:8" ht="22.5" customHeight="1">
      <c r="B77" s="7">
        <v>94</v>
      </c>
      <c r="C77" s="5" t="s">
        <v>6</v>
      </c>
      <c r="D77" s="5" t="s">
        <v>9</v>
      </c>
      <c r="E77" s="5" t="s">
        <v>0</v>
      </c>
      <c r="F77" s="5">
        <v>34205</v>
      </c>
      <c r="G77" s="13">
        <f t="shared" si="17"/>
        <v>0.21692255981938446</v>
      </c>
      <c r="H77" s="5"/>
    </row>
    <row r="78" spans="2:8" ht="22.5" customHeight="1">
      <c r="B78" s="7">
        <v>95</v>
      </c>
      <c r="C78" s="5" t="s">
        <v>6</v>
      </c>
      <c r="D78" s="5" t="s">
        <v>9</v>
      </c>
      <c r="E78" s="5" t="s">
        <v>0</v>
      </c>
      <c r="F78" s="5">
        <v>46693</v>
      </c>
      <c r="G78" s="13">
        <f t="shared" si="17"/>
        <v>0.29611942948827713</v>
      </c>
      <c r="H78" s="5"/>
    </row>
    <row r="79" spans="2:8" ht="22.5" customHeight="1">
      <c r="B79" s="7">
        <v>96</v>
      </c>
      <c r="C79" s="5" t="s">
        <v>6</v>
      </c>
      <c r="D79" s="5" t="s">
        <v>9</v>
      </c>
      <c r="E79" s="5" t="s">
        <v>0</v>
      </c>
      <c r="F79" s="5">
        <v>51221</v>
      </c>
      <c r="G79" s="13">
        <f t="shared" si="17"/>
        <v>0.32483527076476221</v>
      </c>
      <c r="H79" s="5"/>
    </row>
    <row r="80" spans="2:8" ht="22.5" customHeight="1">
      <c r="B80" s="7">
        <v>97</v>
      </c>
      <c r="C80" s="5" t="s">
        <v>6</v>
      </c>
      <c r="D80" s="5" t="s">
        <v>9</v>
      </c>
      <c r="E80" s="5" t="s">
        <v>0</v>
      </c>
      <c r="F80" s="5">
        <v>31868</v>
      </c>
      <c r="G80" s="13">
        <f t="shared" si="17"/>
        <v>0.20210168502628692</v>
      </c>
      <c r="H80" s="5"/>
    </row>
    <row r="81" spans="2:8" ht="22.5" customHeight="1">
      <c r="B81" s="7">
        <v>98</v>
      </c>
      <c r="C81" s="5" t="s">
        <v>6</v>
      </c>
      <c r="D81" s="5" t="s">
        <v>9</v>
      </c>
      <c r="E81" s="5" t="s">
        <v>0</v>
      </c>
      <c r="F81" s="5">
        <v>40242</v>
      </c>
      <c r="G81" s="13">
        <f t="shared" si="17"/>
        <v>0.25520823424211869</v>
      </c>
      <c r="H81" s="5"/>
    </row>
    <row r="82" spans="2:8" ht="22.5" customHeight="1">
      <c r="B82" s="7">
        <v>99</v>
      </c>
      <c r="C82" s="5" t="s">
        <v>6</v>
      </c>
      <c r="D82" s="5" t="s">
        <v>9</v>
      </c>
      <c r="E82" s="5" t="s">
        <v>0</v>
      </c>
      <c r="F82" s="5">
        <v>21115</v>
      </c>
      <c r="G82" s="13">
        <f t="shared" si="17"/>
        <v>0.13390790383237255</v>
      </c>
      <c r="H82" s="5"/>
    </row>
    <row r="83" spans="2:8" ht="22.5" customHeight="1">
      <c r="B83" s="8">
        <v>11</v>
      </c>
      <c r="C83" s="5" t="s">
        <v>6</v>
      </c>
      <c r="D83" s="5" t="s">
        <v>7</v>
      </c>
      <c r="E83" s="5" t="s">
        <v>1</v>
      </c>
      <c r="F83" s="5">
        <v>36547</v>
      </c>
      <c r="G83" s="13">
        <f t="shared" si="17"/>
        <v>0.2317751438011707</v>
      </c>
      <c r="H83" s="5"/>
    </row>
    <row r="84" spans="2:8" ht="22.5" customHeight="1">
      <c r="B84" s="8">
        <v>12</v>
      </c>
      <c r="C84" s="5" t="s">
        <v>6</v>
      </c>
      <c r="D84" s="5" t="s">
        <v>7</v>
      </c>
      <c r="E84" s="5" t="s">
        <v>1</v>
      </c>
      <c r="F84" s="5">
        <v>8169</v>
      </c>
      <c r="G84" s="13">
        <f t="shared" ref="G84:G92" si="18">F84/$W$2</f>
        <v>5.1806472479595134E-2</v>
      </c>
      <c r="H84" s="5"/>
    </row>
    <row r="85" spans="2:8" ht="22.5" customHeight="1">
      <c r="B85" s="8">
        <v>13</v>
      </c>
      <c r="C85" s="5" t="s">
        <v>6</v>
      </c>
      <c r="D85" s="5" t="s">
        <v>7</v>
      </c>
      <c r="E85" s="5" t="s">
        <v>1</v>
      </c>
      <c r="F85" s="5">
        <v>18329</v>
      </c>
      <c r="G85" s="13">
        <f t="shared" si="18"/>
        <v>0.1162395438950299</v>
      </c>
      <c r="H85" s="5"/>
    </row>
    <row r="86" spans="2:8" ht="22.5" customHeight="1">
      <c r="B86" s="8">
        <v>14</v>
      </c>
      <c r="C86" s="5" t="s">
        <v>6</v>
      </c>
      <c r="D86" s="5" t="s">
        <v>7</v>
      </c>
      <c r="E86" s="5" t="s">
        <v>1</v>
      </c>
      <c r="F86" s="5">
        <v>33726</v>
      </c>
      <c r="G86" s="13">
        <f t="shared" si="18"/>
        <v>0.21388481954300717</v>
      </c>
      <c r="H86" s="5"/>
    </row>
    <row r="87" spans="2:8" ht="22.5" customHeight="1">
      <c r="B87" s="8">
        <v>15</v>
      </c>
      <c r="C87" s="5" t="s">
        <v>6</v>
      </c>
      <c r="D87" s="5" t="s">
        <v>7</v>
      </c>
      <c r="E87" s="5" t="s">
        <v>1</v>
      </c>
      <c r="F87" s="5">
        <v>31657</v>
      </c>
      <c r="G87" s="13">
        <f t="shared" si="18"/>
        <v>0.20076355726362385</v>
      </c>
      <c r="H87" s="5"/>
    </row>
    <row r="88" spans="2:8" ht="22.5" customHeight="1">
      <c r="B88" s="8">
        <v>16</v>
      </c>
      <c r="C88" s="5" t="s">
        <v>6</v>
      </c>
      <c r="D88" s="5" t="s">
        <v>7</v>
      </c>
      <c r="E88" s="5" t="s">
        <v>1</v>
      </c>
      <c r="F88" s="5">
        <v>36421</v>
      </c>
      <c r="G88" s="13">
        <f t="shared" si="18"/>
        <v>0.2309760722462155</v>
      </c>
      <c r="H88" s="5"/>
    </row>
    <row r="89" spans="2:8" ht="22.5" customHeight="1">
      <c r="B89" s="8">
        <v>17</v>
      </c>
      <c r="C89" s="5" t="s">
        <v>6</v>
      </c>
      <c r="D89" s="5" t="s">
        <v>7</v>
      </c>
      <c r="E89" s="5" t="s">
        <v>1</v>
      </c>
      <c r="F89" s="4">
        <v>26797</v>
      </c>
      <c r="G89" s="13">
        <f t="shared" si="18"/>
        <v>0.1699422258582092</v>
      </c>
      <c r="H89" s="5"/>
    </row>
    <row r="90" spans="2:8" ht="22.5" customHeight="1">
      <c r="B90" s="8">
        <v>18</v>
      </c>
      <c r="C90" s="5" t="s">
        <v>6</v>
      </c>
      <c r="D90" s="5" t="s">
        <v>7</v>
      </c>
      <c r="E90" s="5" t="s">
        <v>1</v>
      </c>
      <c r="F90" s="5">
        <v>33340</v>
      </c>
      <c r="G90" s="13">
        <f t="shared" si="18"/>
        <v>0.21143687017623966</v>
      </c>
      <c r="H90" s="5"/>
    </row>
    <row r="91" spans="2:8" ht="22.5" customHeight="1">
      <c r="B91" s="8">
        <v>19</v>
      </c>
      <c r="C91" s="5" t="s">
        <v>6</v>
      </c>
      <c r="D91" s="5" t="s">
        <v>7</v>
      </c>
      <c r="E91" s="5" t="s">
        <v>1</v>
      </c>
      <c r="F91" s="5">
        <v>37179</v>
      </c>
      <c r="G91" s="13">
        <f t="shared" si="18"/>
        <v>0.23578318525142217</v>
      </c>
      <c r="H91" s="5"/>
    </row>
    <row r="92" spans="2:8" ht="22.5" customHeight="1">
      <c r="B92" s="8">
        <v>21</v>
      </c>
      <c r="C92" s="5" t="s">
        <v>6</v>
      </c>
      <c r="D92" s="5" t="s">
        <v>7</v>
      </c>
      <c r="E92" s="5" t="s">
        <v>1</v>
      </c>
      <c r="F92" s="5">
        <v>13725</v>
      </c>
      <c r="G92" s="13">
        <f t="shared" si="18"/>
        <v>8.7041722950476588E-2</v>
      </c>
      <c r="H92" s="5"/>
    </row>
    <row r="93" spans="2:8" ht="22.5" customHeight="1">
      <c r="B93" s="8">
        <v>22</v>
      </c>
      <c r="C93" s="5"/>
      <c r="D93" s="5"/>
      <c r="E93" s="5"/>
      <c r="F93" s="5"/>
      <c r="G93" s="13"/>
      <c r="H93" s="5"/>
    </row>
    <row r="94" spans="2:8" ht="22.5" customHeight="1">
      <c r="B94" s="8">
        <v>23</v>
      </c>
      <c r="C94" s="5" t="s">
        <v>6</v>
      </c>
      <c r="D94" s="5" t="s">
        <v>7</v>
      </c>
      <c r="E94" s="5" t="s">
        <v>1</v>
      </c>
      <c r="F94" s="5">
        <v>10752</v>
      </c>
      <c r="G94" s="13">
        <f t="shared" ref="G94:G125" si="19">F94/$W$2</f>
        <v>6.8187439356176632E-2</v>
      </c>
      <c r="H94" s="5"/>
    </row>
    <row r="95" spans="2:8" ht="22.5" customHeight="1">
      <c r="B95" s="8">
        <v>24</v>
      </c>
      <c r="C95" s="5" t="s">
        <v>6</v>
      </c>
      <c r="D95" s="5" t="s">
        <v>7</v>
      </c>
      <c r="E95" s="5" t="s">
        <v>1</v>
      </c>
      <c r="F95" s="5">
        <v>13462</v>
      </c>
      <c r="G95" s="13">
        <f t="shared" si="19"/>
        <v>8.537381962545107E-2</v>
      </c>
      <c r="H95" s="5"/>
    </row>
    <row r="96" spans="2:8" ht="22.5" customHeight="1">
      <c r="B96" s="8">
        <v>25</v>
      </c>
      <c r="C96" s="5" t="s">
        <v>6</v>
      </c>
      <c r="D96" s="5" t="s">
        <v>7</v>
      </c>
      <c r="E96" s="5" t="s">
        <v>1</v>
      </c>
      <c r="F96" s="5">
        <v>24504</v>
      </c>
      <c r="G96" s="13">
        <f t="shared" si="19"/>
        <v>0.1554003919255722</v>
      </c>
      <c r="H96" s="5"/>
    </row>
    <row r="97" spans="2:8" ht="22.5" customHeight="1">
      <c r="B97" s="8">
        <v>26</v>
      </c>
      <c r="C97" s="5" t="s">
        <v>6</v>
      </c>
      <c r="D97" s="5" t="s">
        <v>7</v>
      </c>
      <c r="E97" s="5" t="s">
        <v>1</v>
      </c>
      <c r="F97" s="5">
        <v>12021</v>
      </c>
      <c r="G97" s="13">
        <f t="shared" si="19"/>
        <v>7.6235231445368243E-2</v>
      </c>
      <c r="H97" s="5"/>
    </row>
    <row r="98" spans="2:8" ht="22.5" customHeight="1">
      <c r="B98" s="8">
        <v>27</v>
      </c>
      <c r="C98" s="5" t="s">
        <v>6</v>
      </c>
      <c r="D98" s="5" t="s">
        <v>7</v>
      </c>
      <c r="E98" s="5" t="s">
        <v>1</v>
      </c>
      <c r="F98" s="5">
        <v>47218</v>
      </c>
      <c r="G98" s="13">
        <f t="shared" si="19"/>
        <v>0.29944889430059041</v>
      </c>
      <c r="H98" s="5"/>
    </row>
    <row r="99" spans="2:8" ht="22.5" customHeight="1">
      <c r="B99" s="8">
        <v>28</v>
      </c>
      <c r="C99" s="5" t="s">
        <v>6</v>
      </c>
      <c r="D99" s="5" t="s">
        <v>7</v>
      </c>
      <c r="E99" s="5" t="s">
        <v>1</v>
      </c>
      <c r="F99" s="5">
        <v>9742</v>
      </c>
      <c r="G99" s="13">
        <f t="shared" si="19"/>
        <v>6.1782183241059593E-2</v>
      </c>
      <c r="H99" s="5"/>
    </row>
    <row r="100" spans="2:8" ht="22.5" customHeight="1">
      <c r="B100" s="8">
        <v>29</v>
      </c>
      <c r="C100" s="5" t="s">
        <v>6</v>
      </c>
      <c r="D100" s="5" t="s">
        <v>7</v>
      </c>
      <c r="E100" s="5" t="s">
        <v>1</v>
      </c>
      <c r="F100" s="5">
        <v>10836</v>
      </c>
      <c r="G100" s="13">
        <f t="shared" si="19"/>
        <v>6.872015372614676E-2</v>
      </c>
      <c r="H100" s="5"/>
    </row>
    <row r="101" spans="2:8" ht="22.5" customHeight="1">
      <c r="B101" s="8">
        <v>31</v>
      </c>
      <c r="C101" s="5" t="s">
        <v>6</v>
      </c>
      <c r="D101" s="5" t="s">
        <v>7</v>
      </c>
      <c r="E101" s="5" t="s">
        <v>1</v>
      </c>
      <c r="F101" s="5">
        <v>17671</v>
      </c>
      <c r="G101" s="13">
        <f t="shared" si="19"/>
        <v>0.11206661466359721</v>
      </c>
      <c r="H101" s="5"/>
    </row>
    <row r="102" spans="2:8" ht="22.5" customHeight="1">
      <c r="B102" s="8">
        <v>32</v>
      </c>
      <c r="C102" s="5"/>
      <c r="D102" s="5"/>
      <c r="E102" s="5"/>
      <c r="F102" s="5"/>
      <c r="G102" s="13"/>
      <c r="H102" s="5"/>
    </row>
    <row r="103" spans="2:8" ht="22.5" customHeight="1">
      <c r="B103" s="8">
        <v>33</v>
      </c>
      <c r="C103" s="5" t="s">
        <v>6</v>
      </c>
      <c r="D103" s="5" t="s">
        <v>7</v>
      </c>
      <c r="E103" s="5" t="s">
        <v>1</v>
      </c>
      <c r="F103" s="5">
        <v>12880</v>
      </c>
      <c r="G103" s="13">
        <f t="shared" si="19"/>
        <v>8.1682870062086591E-2</v>
      </c>
      <c r="H103" s="5"/>
    </row>
    <row r="104" spans="2:8" ht="22.5" customHeight="1">
      <c r="B104" s="8">
        <v>34</v>
      </c>
      <c r="C104" s="5" t="s">
        <v>6</v>
      </c>
      <c r="D104" s="5" t="s">
        <v>7</v>
      </c>
      <c r="E104" s="5" t="s">
        <v>1</v>
      </c>
      <c r="F104" s="5">
        <v>11331</v>
      </c>
      <c r="G104" s="13">
        <f t="shared" si="19"/>
        <v>7.1859363406327884E-2</v>
      </c>
      <c r="H104" s="5"/>
    </row>
    <row r="105" spans="2:8" ht="22.5" customHeight="1">
      <c r="B105" s="8">
        <v>35</v>
      </c>
      <c r="C105" s="5" t="s">
        <v>6</v>
      </c>
      <c r="D105" s="5" t="s">
        <v>7</v>
      </c>
      <c r="E105" s="5" t="s">
        <v>1</v>
      </c>
      <c r="F105" s="5">
        <v>39509</v>
      </c>
      <c r="G105" s="13">
        <f t="shared" si="19"/>
        <v>0.25055966718035555</v>
      </c>
      <c r="H105" s="5"/>
    </row>
    <row r="106" spans="2:8" ht="22.5" customHeight="1">
      <c r="B106" s="8">
        <v>36</v>
      </c>
      <c r="C106" s="5" t="s">
        <v>6</v>
      </c>
      <c r="D106" s="5" t="s">
        <v>7</v>
      </c>
      <c r="E106" s="5" t="s">
        <v>1</v>
      </c>
      <c r="F106" s="5">
        <v>12286</v>
      </c>
      <c r="G106" s="13">
        <f t="shared" si="19"/>
        <v>7.7915818445869242E-2</v>
      </c>
      <c r="H106" s="5"/>
    </row>
    <row r="107" spans="2:8" ht="22.5" customHeight="1">
      <c r="B107" s="8">
        <v>37</v>
      </c>
      <c r="C107" s="5" t="s">
        <v>6</v>
      </c>
      <c r="D107" s="5" t="s">
        <v>7</v>
      </c>
      <c r="E107" s="5" t="s">
        <v>1</v>
      </c>
      <c r="F107" s="5">
        <v>38975</v>
      </c>
      <c r="G107" s="13">
        <f t="shared" si="19"/>
        <v>0.24717312582840256</v>
      </c>
      <c r="H107" s="5"/>
    </row>
    <row r="108" spans="2:8" ht="22.5" customHeight="1">
      <c r="B108" s="8">
        <v>38</v>
      </c>
      <c r="C108" s="5" t="s">
        <v>6</v>
      </c>
      <c r="D108" s="5" t="s">
        <v>7</v>
      </c>
      <c r="E108" s="5" t="s">
        <v>1</v>
      </c>
      <c r="F108" s="5">
        <v>18408</v>
      </c>
      <c r="G108" s="13">
        <f t="shared" si="19"/>
        <v>0.11674054907631133</v>
      </c>
      <c r="H108" s="5"/>
    </row>
    <row r="109" spans="2:8" ht="22.5" customHeight="1">
      <c r="B109" s="8">
        <v>39</v>
      </c>
      <c r="C109" s="5" t="s">
        <v>6</v>
      </c>
      <c r="D109" s="5" t="s">
        <v>7</v>
      </c>
      <c r="E109" s="5" t="s">
        <v>1</v>
      </c>
      <c r="F109" s="5">
        <v>38969</v>
      </c>
      <c r="G109" s="13">
        <f t="shared" si="19"/>
        <v>0.24713507480197611</v>
      </c>
      <c r="H109" s="5"/>
    </row>
    <row r="110" spans="2:8" ht="22.5" customHeight="1">
      <c r="B110" s="8">
        <v>41</v>
      </c>
      <c r="C110" s="5" t="s">
        <v>6</v>
      </c>
      <c r="D110" s="5" t="s">
        <v>8</v>
      </c>
      <c r="E110" s="5" t="s">
        <v>1</v>
      </c>
      <c r="F110" s="5">
        <v>33661</v>
      </c>
      <c r="G110" s="13">
        <f t="shared" si="19"/>
        <v>0.21347260009005409</v>
      </c>
      <c r="H110" s="5"/>
    </row>
    <row r="111" spans="2:8" ht="22.5" customHeight="1">
      <c r="B111" s="8">
        <v>42</v>
      </c>
      <c r="C111" s="5" t="s">
        <v>6</v>
      </c>
      <c r="D111" s="5" t="s">
        <v>8</v>
      </c>
      <c r="E111" s="5" t="s">
        <v>1</v>
      </c>
      <c r="F111" s="5">
        <v>15156</v>
      </c>
      <c r="G111" s="13">
        <f t="shared" si="19"/>
        <v>9.6116892753182012E-2</v>
      </c>
      <c r="H111" s="5"/>
    </row>
    <row r="112" spans="2:8" ht="22.5" customHeight="1">
      <c r="B112" s="8">
        <v>43</v>
      </c>
      <c r="C112" s="5" t="s">
        <v>6</v>
      </c>
      <c r="D112" s="5" t="s">
        <v>8</v>
      </c>
      <c r="E112" s="5" t="s">
        <v>1</v>
      </c>
      <c r="F112" s="5">
        <v>7806</v>
      </c>
      <c r="G112" s="13">
        <f t="shared" si="19"/>
        <v>4.950438538079565E-2</v>
      </c>
      <c r="H112" s="5"/>
    </row>
    <row r="113" spans="2:8" ht="22.5" customHeight="1">
      <c r="B113" s="8">
        <v>44</v>
      </c>
      <c r="C113" s="5" t="s">
        <v>6</v>
      </c>
      <c r="D113" s="5" t="s">
        <v>8</v>
      </c>
      <c r="E113" s="5" t="s">
        <v>1</v>
      </c>
      <c r="F113" s="5">
        <v>24666</v>
      </c>
      <c r="G113" s="13">
        <f t="shared" si="19"/>
        <v>0.156427769639086</v>
      </c>
      <c r="H113" s="5"/>
    </row>
    <row r="114" spans="2:8" ht="22.5" customHeight="1">
      <c r="B114" s="8">
        <v>45</v>
      </c>
      <c r="C114" s="5" t="s">
        <v>6</v>
      </c>
      <c r="D114" s="5" t="s">
        <v>8</v>
      </c>
      <c r="E114" s="5" t="s">
        <v>1</v>
      </c>
      <c r="F114" s="5">
        <v>16361</v>
      </c>
      <c r="G114" s="13">
        <f t="shared" si="19"/>
        <v>0.10375880722715829</v>
      </c>
      <c r="H114" s="5"/>
    </row>
    <row r="115" spans="2:8" ht="22.5" customHeight="1">
      <c r="B115" s="8">
        <v>46</v>
      </c>
      <c r="C115" s="5" t="s">
        <v>6</v>
      </c>
      <c r="D115" s="5" t="s">
        <v>8</v>
      </c>
      <c r="E115" s="5" t="s">
        <v>1</v>
      </c>
      <c r="F115" s="5">
        <v>6875</v>
      </c>
      <c r="G115" s="13">
        <f t="shared" si="19"/>
        <v>4.3600134446960037E-2</v>
      </c>
      <c r="H115" s="5"/>
    </row>
    <row r="116" spans="2:8" ht="22.5" customHeight="1">
      <c r="B116" s="8">
        <v>47</v>
      </c>
      <c r="C116" s="5" t="s">
        <v>6</v>
      </c>
      <c r="D116" s="5" t="s">
        <v>8</v>
      </c>
      <c r="E116" s="5" t="s">
        <v>1</v>
      </c>
      <c r="F116" s="5">
        <v>13003</v>
      </c>
      <c r="G116" s="13">
        <f t="shared" si="19"/>
        <v>8.2462916103828568E-2</v>
      </c>
      <c r="H116" s="5"/>
    </row>
    <row r="117" spans="2:8" ht="22.5" customHeight="1">
      <c r="B117" s="8">
        <v>48</v>
      </c>
      <c r="C117" s="5" t="s">
        <v>6</v>
      </c>
      <c r="D117" s="5" t="s">
        <v>8</v>
      </c>
      <c r="E117" s="5" t="s">
        <v>1</v>
      </c>
      <c r="F117" s="5">
        <v>6719</v>
      </c>
      <c r="G117" s="13">
        <f t="shared" si="19"/>
        <v>4.2610807759872658E-2</v>
      </c>
      <c r="H117" s="5"/>
    </row>
    <row r="118" spans="2:8" ht="22.5" customHeight="1">
      <c r="B118" s="8">
        <v>49</v>
      </c>
      <c r="C118" s="5" t="s">
        <v>6</v>
      </c>
      <c r="D118" s="5" t="s">
        <v>8</v>
      </c>
      <c r="E118" s="5" t="s">
        <v>1</v>
      </c>
      <c r="F118" s="5">
        <v>21816</v>
      </c>
      <c r="G118" s="13">
        <f t="shared" si="19"/>
        <v>0.13835353208652804</v>
      </c>
      <c r="H118" s="5"/>
    </row>
    <row r="119" spans="2:8" ht="22.5" customHeight="1">
      <c r="B119" s="8">
        <v>51</v>
      </c>
      <c r="C119" s="5" t="s">
        <v>6</v>
      </c>
      <c r="D119" s="5" t="s">
        <v>8</v>
      </c>
      <c r="E119" s="5" t="s">
        <v>1</v>
      </c>
      <c r="F119" s="5">
        <v>12341</v>
      </c>
      <c r="G119" s="13">
        <f t="shared" si="19"/>
        <v>7.8264619521444923E-2</v>
      </c>
      <c r="H119" s="5"/>
    </row>
    <row r="120" spans="2:8" ht="22.5" customHeight="1">
      <c r="B120" s="8">
        <v>52</v>
      </c>
      <c r="C120" s="5" t="s">
        <v>6</v>
      </c>
      <c r="D120" s="5" t="s">
        <v>8</v>
      </c>
      <c r="E120" s="5" t="s">
        <v>1</v>
      </c>
      <c r="F120" s="5">
        <v>15684</v>
      </c>
      <c r="G120" s="13">
        <f t="shared" si="19"/>
        <v>9.9465383078708544E-2</v>
      </c>
      <c r="H120" s="5"/>
    </row>
    <row r="121" spans="2:8" ht="22.5" customHeight="1">
      <c r="B121" s="8">
        <v>53</v>
      </c>
      <c r="C121" s="5" t="s">
        <v>6</v>
      </c>
      <c r="D121" s="5" t="s">
        <v>8</v>
      </c>
      <c r="E121" s="5" t="s">
        <v>1</v>
      </c>
      <c r="F121" s="5">
        <v>15251</v>
      </c>
      <c r="G121" s="13">
        <f t="shared" si="19"/>
        <v>9.671936733826729E-2</v>
      </c>
      <c r="H121" s="5"/>
    </row>
    <row r="122" spans="2:8" ht="22.5" customHeight="1">
      <c r="B122" s="8">
        <v>54</v>
      </c>
      <c r="C122" s="5" t="s">
        <v>6</v>
      </c>
      <c r="D122" s="5" t="s">
        <v>8</v>
      </c>
      <c r="E122" s="5" t="s">
        <v>1</v>
      </c>
      <c r="F122" s="5">
        <v>8945</v>
      </c>
      <c r="G122" s="13">
        <f t="shared" si="19"/>
        <v>5.6727738564081101E-2</v>
      </c>
      <c r="H122" s="5"/>
    </row>
    <row r="123" spans="2:8" ht="22.5" customHeight="1">
      <c r="B123" s="8">
        <v>55</v>
      </c>
      <c r="C123" s="5" t="s">
        <v>6</v>
      </c>
      <c r="D123" s="5" t="s">
        <v>8</v>
      </c>
      <c r="E123" s="5" t="s">
        <v>1</v>
      </c>
      <c r="F123" s="5">
        <v>13151</v>
      </c>
      <c r="G123" s="13">
        <f t="shared" si="19"/>
        <v>8.3401508089014031E-2</v>
      </c>
      <c r="H123" s="5"/>
    </row>
    <row r="124" spans="2:8" ht="22.5" customHeight="1">
      <c r="B124" s="8">
        <v>56</v>
      </c>
      <c r="C124" s="5" t="s">
        <v>6</v>
      </c>
      <c r="D124" s="5" t="s">
        <v>8</v>
      </c>
      <c r="E124" s="5" t="s">
        <v>1</v>
      </c>
      <c r="F124" s="5">
        <v>13724</v>
      </c>
      <c r="G124" s="13">
        <f t="shared" si="19"/>
        <v>8.7035381112738855E-2</v>
      </c>
      <c r="H124" s="5"/>
    </row>
    <row r="125" spans="2:8" ht="22.5" customHeight="1">
      <c r="B125" s="8">
        <v>57</v>
      </c>
      <c r="C125" s="5" t="s">
        <v>6</v>
      </c>
      <c r="D125" s="5" t="s">
        <v>8</v>
      </c>
      <c r="E125" s="5" t="s">
        <v>1</v>
      </c>
      <c r="F125" s="5">
        <v>20348</v>
      </c>
      <c r="G125" s="13">
        <f t="shared" si="19"/>
        <v>0.12904371428752623</v>
      </c>
      <c r="H125" s="5"/>
    </row>
    <row r="126" spans="2:8" ht="22.5" customHeight="1">
      <c r="B126" s="8">
        <v>58</v>
      </c>
      <c r="C126" s="5" t="s">
        <v>6</v>
      </c>
      <c r="D126" s="5" t="s">
        <v>8</v>
      </c>
      <c r="E126" s="5" t="s">
        <v>1</v>
      </c>
      <c r="F126" s="5">
        <v>26673</v>
      </c>
      <c r="G126" s="13">
        <f t="shared" ref="G126:G154" si="20">F126/$W$2</f>
        <v>0.16915583797872949</v>
      </c>
      <c r="H126" s="5"/>
    </row>
    <row r="127" spans="2:8" ht="22.5" customHeight="1">
      <c r="B127" s="8">
        <v>59</v>
      </c>
      <c r="C127" s="5" t="s">
        <v>6</v>
      </c>
      <c r="D127" s="5" t="s">
        <v>8</v>
      </c>
      <c r="E127" s="5" t="s">
        <v>1</v>
      </c>
      <c r="F127" s="5">
        <v>27763</v>
      </c>
      <c r="G127" s="13">
        <f t="shared" si="20"/>
        <v>0.17606844111286568</v>
      </c>
      <c r="H127" s="5"/>
    </row>
    <row r="128" spans="2:8" ht="22.5" customHeight="1">
      <c r="B128" s="8">
        <v>61</v>
      </c>
      <c r="C128" s="5" t="s">
        <v>6</v>
      </c>
      <c r="D128" s="5" t="s">
        <v>8</v>
      </c>
      <c r="E128" s="5" t="s">
        <v>1</v>
      </c>
      <c r="F128" s="5">
        <v>15322</v>
      </c>
      <c r="G128" s="13">
        <f t="shared" si="20"/>
        <v>9.7169637817646801E-2</v>
      </c>
      <c r="H128" s="5"/>
    </row>
    <row r="129" spans="2:8" ht="22.5" customHeight="1">
      <c r="B129" s="8">
        <v>62</v>
      </c>
      <c r="C129" s="5" t="s">
        <v>6</v>
      </c>
      <c r="D129" s="5" t="s">
        <v>8</v>
      </c>
      <c r="E129" s="5" t="s">
        <v>1</v>
      </c>
      <c r="F129" s="5">
        <v>13563</v>
      </c>
      <c r="G129" s="13">
        <f t="shared" si="20"/>
        <v>8.6014345236962761E-2</v>
      </c>
      <c r="H129" s="5"/>
    </row>
    <row r="130" spans="2:8" ht="22.5" customHeight="1">
      <c r="B130" s="8">
        <v>63</v>
      </c>
      <c r="C130" s="5" t="s">
        <v>6</v>
      </c>
      <c r="D130" s="5" t="s">
        <v>8</v>
      </c>
      <c r="E130" s="5" t="s">
        <v>1</v>
      </c>
      <c r="F130" s="5">
        <v>25586</v>
      </c>
      <c r="G130" s="13">
        <f t="shared" si="20"/>
        <v>0.1622622603578065</v>
      </c>
      <c r="H130" s="5"/>
    </row>
    <row r="131" spans="2:8" ht="22.5" customHeight="1">
      <c r="B131" s="8">
        <v>64</v>
      </c>
      <c r="C131" s="5" t="s">
        <v>6</v>
      </c>
      <c r="D131" s="5" t="s">
        <v>8</v>
      </c>
      <c r="E131" s="5" t="s">
        <v>1</v>
      </c>
      <c r="F131" s="5">
        <v>10263</v>
      </c>
      <c r="G131" s="13">
        <f t="shared" si="20"/>
        <v>6.508628070242195E-2</v>
      </c>
      <c r="H131" s="5"/>
    </row>
    <row r="132" spans="2:8" ht="22.5" customHeight="1">
      <c r="B132" s="8">
        <v>65</v>
      </c>
      <c r="C132" s="5" t="s">
        <v>6</v>
      </c>
      <c r="D132" s="5" t="s">
        <v>8</v>
      </c>
      <c r="E132" s="5" t="s">
        <v>1</v>
      </c>
      <c r="F132" s="5">
        <v>5232</v>
      </c>
      <c r="G132" s="13">
        <f t="shared" si="20"/>
        <v>3.3180495043853807E-2</v>
      </c>
      <c r="H132" s="5"/>
    </row>
    <row r="133" spans="2:8" ht="22.5" customHeight="1">
      <c r="B133" s="8">
        <v>66</v>
      </c>
      <c r="C133" s="5" t="s">
        <v>6</v>
      </c>
      <c r="D133" s="5" t="s">
        <v>8</v>
      </c>
      <c r="E133" s="5" t="s">
        <v>1</v>
      </c>
      <c r="F133" s="5">
        <v>9376</v>
      </c>
      <c r="G133" s="13">
        <f t="shared" si="20"/>
        <v>5.9461070629046882E-2</v>
      </c>
      <c r="H133" s="5"/>
    </row>
    <row r="134" spans="2:8" ht="22.5" customHeight="1">
      <c r="B134" s="8">
        <v>67</v>
      </c>
      <c r="C134" s="5" t="s">
        <v>6</v>
      </c>
      <c r="D134" s="5" t="s">
        <v>8</v>
      </c>
      <c r="E134" s="5" t="s">
        <v>1</v>
      </c>
      <c r="F134" s="5">
        <v>11267</v>
      </c>
      <c r="G134" s="13">
        <f t="shared" si="20"/>
        <v>7.1453485791112548E-2</v>
      </c>
      <c r="H134" s="5"/>
    </row>
    <row r="135" spans="2:8" ht="22.5" customHeight="1">
      <c r="B135" s="8">
        <v>68</v>
      </c>
      <c r="C135" s="5" t="s">
        <v>6</v>
      </c>
      <c r="D135" s="5" t="s">
        <v>8</v>
      </c>
      <c r="E135" s="5" t="s">
        <v>1</v>
      </c>
      <c r="F135" s="5">
        <v>20697</v>
      </c>
      <c r="G135" s="13">
        <f t="shared" si="20"/>
        <v>0.13125701565799738</v>
      </c>
      <c r="H135" s="5"/>
    </row>
    <row r="136" spans="2:8" ht="22.5" customHeight="1">
      <c r="B136" s="8">
        <v>69</v>
      </c>
      <c r="C136" s="5" t="s">
        <v>6</v>
      </c>
      <c r="D136" s="5" t="s">
        <v>8</v>
      </c>
      <c r="E136" s="5" t="s">
        <v>1</v>
      </c>
      <c r="F136" s="5">
        <v>13536</v>
      </c>
      <c r="G136" s="13">
        <f t="shared" si="20"/>
        <v>8.5843115618043794E-2</v>
      </c>
      <c r="H136" s="5"/>
    </row>
    <row r="137" spans="2:8" ht="22.5" customHeight="1">
      <c r="B137" s="8">
        <v>71</v>
      </c>
      <c r="C137" s="5" t="s">
        <v>6</v>
      </c>
      <c r="D137" s="5" t="s">
        <v>7</v>
      </c>
      <c r="E137" s="5" t="s">
        <v>1</v>
      </c>
      <c r="F137" s="5">
        <v>16231</v>
      </c>
      <c r="G137" s="13">
        <f t="shared" si="20"/>
        <v>0.10293436832125213</v>
      </c>
      <c r="H137" s="5"/>
    </row>
    <row r="138" spans="2:8" ht="22.5" customHeight="1">
      <c r="B138" s="8">
        <v>72</v>
      </c>
      <c r="C138" s="5" t="s">
        <v>6</v>
      </c>
      <c r="D138" s="5" t="s">
        <v>7</v>
      </c>
      <c r="E138" s="5" t="s">
        <v>1</v>
      </c>
      <c r="F138" s="5">
        <v>48664</v>
      </c>
      <c r="G138" s="13">
        <f t="shared" si="20"/>
        <v>0.30861919166936197</v>
      </c>
      <c r="H138" s="5"/>
    </row>
    <row r="139" spans="2:8" ht="22.5" customHeight="1">
      <c r="B139" s="8">
        <v>73</v>
      </c>
      <c r="C139" s="5" t="s">
        <v>6</v>
      </c>
      <c r="D139" s="5" t="s">
        <v>7</v>
      </c>
      <c r="E139" s="5" t="s">
        <v>1</v>
      </c>
      <c r="F139" s="5">
        <v>14684</v>
      </c>
      <c r="G139" s="13">
        <f t="shared" si="20"/>
        <v>9.3123545340968908E-2</v>
      </c>
      <c r="H139" s="5"/>
    </row>
    <row r="140" spans="2:8" ht="22.5" customHeight="1">
      <c r="B140" s="8">
        <v>74</v>
      </c>
      <c r="C140" s="5" t="s">
        <v>6</v>
      </c>
      <c r="D140" s="5" t="s">
        <v>7</v>
      </c>
      <c r="E140" s="5" t="s">
        <v>1</v>
      </c>
      <c r="F140" s="5">
        <v>7272</v>
      </c>
      <c r="G140" s="13">
        <f t="shared" si="20"/>
        <v>4.6117844028842676E-2</v>
      </c>
      <c r="H140" s="5"/>
    </row>
    <row r="141" spans="2:8" ht="22.5" customHeight="1">
      <c r="B141" s="8">
        <v>75</v>
      </c>
      <c r="C141" s="5" t="s">
        <v>6</v>
      </c>
      <c r="D141" s="5" t="s">
        <v>7</v>
      </c>
      <c r="E141" s="5" t="s">
        <v>1</v>
      </c>
      <c r="F141" s="5">
        <v>27020</v>
      </c>
      <c r="G141" s="13">
        <f t="shared" si="20"/>
        <v>0.17135645567372512</v>
      </c>
      <c r="H141" s="5"/>
    </row>
    <row r="142" spans="2:8" ht="22.5" customHeight="1">
      <c r="B142" s="8">
        <v>76</v>
      </c>
      <c r="C142" s="5" t="s">
        <v>6</v>
      </c>
      <c r="D142" s="5" t="s">
        <v>7</v>
      </c>
      <c r="E142" s="5" t="s">
        <v>1</v>
      </c>
      <c r="F142" s="5">
        <v>21448</v>
      </c>
      <c r="G142" s="13">
        <f t="shared" si="20"/>
        <v>0.13601973579903984</v>
      </c>
      <c r="H142" s="5"/>
    </row>
    <row r="143" spans="2:8" ht="22.5" customHeight="1">
      <c r="B143" s="8">
        <v>77</v>
      </c>
      <c r="C143" s="5" t="s">
        <v>6</v>
      </c>
      <c r="D143" s="5" t="s">
        <v>8</v>
      </c>
      <c r="E143" s="5" t="s">
        <v>1</v>
      </c>
      <c r="F143" s="5">
        <v>16666</v>
      </c>
      <c r="G143" s="13">
        <f t="shared" si="20"/>
        <v>0.10569306773716888</v>
      </c>
      <c r="H143" s="5"/>
    </row>
    <row r="144" spans="2:8" ht="22.5" customHeight="1">
      <c r="B144" s="8">
        <v>78</v>
      </c>
      <c r="C144" s="5" t="s">
        <v>6</v>
      </c>
      <c r="D144" s="5" t="s">
        <v>8</v>
      </c>
      <c r="E144" s="5" t="s">
        <v>1</v>
      </c>
      <c r="F144" s="5">
        <v>11405</v>
      </c>
      <c r="G144" s="13">
        <f t="shared" si="20"/>
        <v>7.2328659398920622E-2</v>
      </c>
      <c r="H144" s="5"/>
    </row>
    <row r="145" spans="2:8" ht="22.5" customHeight="1">
      <c r="B145" s="8">
        <v>79</v>
      </c>
      <c r="C145" s="5" t="s">
        <v>6</v>
      </c>
      <c r="D145" s="5" t="s">
        <v>8</v>
      </c>
      <c r="E145" s="5" t="s">
        <v>1</v>
      </c>
      <c r="F145" s="5">
        <v>21457</v>
      </c>
      <c r="G145" s="13">
        <f t="shared" si="20"/>
        <v>0.13607681233867949</v>
      </c>
      <c r="H145" s="5"/>
    </row>
    <row r="146" spans="2:8" ht="22.5" customHeight="1">
      <c r="B146" s="8">
        <v>81</v>
      </c>
      <c r="C146" s="5" t="s">
        <v>6</v>
      </c>
      <c r="D146" s="5" t="s">
        <v>7</v>
      </c>
      <c r="E146" s="5" t="s">
        <v>1</v>
      </c>
      <c r="F146" s="5">
        <v>15829</v>
      </c>
      <c r="G146" s="13">
        <f t="shared" si="20"/>
        <v>0.10038494955068079</v>
      </c>
      <c r="H146" s="5"/>
    </row>
    <row r="147" spans="2:8" ht="22.5" customHeight="1">
      <c r="B147" s="8">
        <v>82</v>
      </c>
      <c r="C147" s="5" t="s">
        <v>6</v>
      </c>
      <c r="D147" s="5" t="s">
        <v>8</v>
      </c>
      <c r="E147" s="5" t="s">
        <v>1</v>
      </c>
      <c r="F147" s="5">
        <v>22089</v>
      </c>
      <c r="G147" s="13">
        <f t="shared" si="20"/>
        <v>0.14008485378893096</v>
      </c>
      <c r="H147" s="5"/>
    </row>
    <row r="148" spans="2:8" ht="22.5" customHeight="1">
      <c r="B148" s="8">
        <v>83</v>
      </c>
      <c r="C148" s="5" t="s">
        <v>6</v>
      </c>
      <c r="D148" s="5" t="s">
        <v>8</v>
      </c>
      <c r="E148" s="5" t="s">
        <v>1</v>
      </c>
      <c r="F148" s="5">
        <v>27789</v>
      </c>
      <c r="G148" s="13">
        <f t="shared" si="20"/>
        <v>0.17623332889404691</v>
      </c>
      <c r="H148" s="5"/>
    </row>
    <row r="149" spans="2:8" ht="22.5" customHeight="1">
      <c r="B149" s="8">
        <v>84</v>
      </c>
      <c r="C149" s="5" t="s">
        <v>6</v>
      </c>
      <c r="D149" s="5" t="s">
        <v>7</v>
      </c>
      <c r="E149" s="5" t="s">
        <v>1</v>
      </c>
      <c r="F149" s="5">
        <v>7834</v>
      </c>
      <c r="G149" s="13">
        <f t="shared" si="20"/>
        <v>4.9681956837452357E-2</v>
      </c>
      <c r="H149" s="5"/>
    </row>
    <row r="150" spans="2:8" ht="22.5" customHeight="1">
      <c r="B150" s="8">
        <v>85</v>
      </c>
      <c r="C150" s="5" t="s">
        <v>6</v>
      </c>
      <c r="D150" s="5" t="s">
        <v>7</v>
      </c>
      <c r="E150" s="5" t="s">
        <v>1</v>
      </c>
      <c r="F150" s="5">
        <v>40743</v>
      </c>
      <c r="G150" s="13">
        <f t="shared" si="20"/>
        <v>0.25838549494872626</v>
      </c>
      <c r="H150" s="5"/>
    </row>
    <row r="151" spans="2:8" ht="22.5" customHeight="1">
      <c r="B151" s="8">
        <v>86</v>
      </c>
      <c r="C151" s="5" t="s">
        <v>6</v>
      </c>
      <c r="D151" s="5" t="s">
        <v>7</v>
      </c>
      <c r="E151" s="5" t="s">
        <v>1</v>
      </c>
      <c r="F151" s="5">
        <v>40374</v>
      </c>
      <c r="G151" s="13">
        <f t="shared" si="20"/>
        <v>0.25604535682350033</v>
      </c>
      <c r="H151" s="5"/>
    </row>
    <row r="152" spans="2:8" ht="22.5" customHeight="1">
      <c r="B152" s="8">
        <v>87</v>
      </c>
      <c r="C152" s="5" t="s">
        <v>6</v>
      </c>
      <c r="D152" s="5" t="s">
        <v>8</v>
      </c>
      <c r="E152" s="5" t="s">
        <v>1</v>
      </c>
      <c r="F152" s="5">
        <v>11321</v>
      </c>
      <c r="G152" s="13">
        <f t="shared" si="20"/>
        <v>7.1795945028950495E-2</v>
      </c>
      <c r="H152" s="5"/>
    </row>
    <row r="153" spans="2:8" ht="22.5" customHeight="1">
      <c r="B153" s="8">
        <v>88</v>
      </c>
      <c r="C153" s="5" t="s">
        <v>6</v>
      </c>
      <c r="D153" s="5" t="s">
        <v>8</v>
      </c>
      <c r="E153" s="5" t="s">
        <v>1</v>
      </c>
      <c r="F153" s="5">
        <v>9931</v>
      </c>
      <c r="G153" s="13">
        <f t="shared" si="20"/>
        <v>6.2980790573492387E-2</v>
      </c>
      <c r="H153" s="5"/>
    </row>
    <row r="154" spans="2:8" ht="22.5" customHeight="1">
      <c r="B154" s="8">
        <v>89</v>
      </c>
      <c r="C154" s="5" t="s">
        <v>6</v>
      </c>
      <c r="D154" s="5" t="s">
        <v>8</v>
      </c>
      <c r="E154" s="5" t="s">
        <v>1</v>
      </c>
      <c r="F154" s="5">
        <v>7160</v>
      </c>
      <c r="G154" s="13">
        <f t="shared" si="20"/>
        <v>4.5407558202215835E-2</v>
      </c>
      <c r="H154" s="5"/>
    </row>
    <row r="155" spans="2:8" ht="22.5" customHeight="1">
      <c r="B155" s="8">
        <v>91</v>
      </c>
      <c r="C155" s="5"/>
      <c r="D155" s="5"/>
      <c r="E155" s="5"/>
      <c r="F155" s="5"/>
      <c r="G155" s="13"/>
      <c r="H155" s="5"/>
    </row>
    <row r="156" spans="2:8" ht="22.5" customHeight="1">
      <c r="B156" s="8">
        <v>92</v>
      </c>
      <c r="C156" s="5" t="s">
        <v>6</v>
      </c>
      <c r="D156" s="5" t="s">
        <v>8</v>
      </c>
      <c r="E156" s="5" t="s">
        <v>1</v>
      </c>
      <c r="F156" s="5">
        <v>22570</v>
      </c>
      <c r="G156" s="13">
        <f t="shared" ref="G156:G163" si="21">F156/$W$2</f>
        <v>0.14313527774078372</v>
      </c>
      <c r="H156" s="5"/>
    </row>
    <row r="157" spans="2:8" ht="22.5" customHeight="1">
      <c r="B157" s="8">
        <v>93</v>
      </c>
      <c r="C157" s="5" t="s">
        <v>6</v>
      </c>
      <c r="D157" s="5" t="s">
        <v>8</v>
      </c>
      <c r="E157" s="5" t="s">
        <v>1</v>
      </c>
      <c r="F157" s="5">
        <v>16185</v>
      </c>
      <c r="G157" s="13">
        <f t="shared" si="21"/>
        <v>0.10264264378531611</v>
      </c>
      <c r="H157" s="5"/>
    </row>
    <row r="158" spans="2:8" ht="22.5" customHeight="1">
      <c r="B158" s="8">
        <v>94</v>
      </c>
      <c r="C158" s="5" t="s">
        <v>6</v>
      </c>
      <c r="D158" s="5" t="s">
        <v>7</v>
      </c>
      <c r="E158" s="5" t="s">
        <v>1</v>
      </c>
      <c r="F158" s="5">
        <v>29716</v>
      </c>
      <c r="G158" s="13">
        <f t="shared" si="21"/>
        <v>0.18845405021467121</v>
      </c>
      <c r="H158" s="5"/>
    </row>
    <row r="159" spans="2:8" ht="22.5" customHeight="1">
      <c r="B159" s="8">
        <v>95</v>
      </c>
      <c r="C159" s="5" t="s">
        <v>6</v>
      </c>
      <c r="D159" s="5" t="s">
        <v>7</v>
      </c>
      <c r="E159" s="5" t="s">
        <v>1</v>
      </c>
      <c r="F159" s="5">
        <v>29601</v>
      </c>
      <c r="G159" s="13">
        <f t="shared" si="21"/>
        <v>0.18772473887483115</v>
      </c>
      <c r="H159" s="5"/>
    </row>
    <row r="160" spans="2:8" ht="22.5" customHeight="1">
      <c r="B160" s="8">
        <v>96</v>
      </c>
      <c r="C160" s="5" t="s">
        <v>6</v>
      </c>
      <c r="D160" s="5" t="s">
        <v>7</v>
      </c>
      <c r="E160" s="5" t="s">
        <v>1</v>
      </c>
      <c r="F160" s="5">
        <v>34389</v>
      </c>
      <c r="G160" s="13">
        <f t="shared" si="21"/>
        <v>0.21808945796312856</v>
      </c>
      <c r="H160" s="5"/>
    </row>
    <row r="161" spans="2:8" ht="22.5" customHeight="1">
      <c r="B161" s="8">
        <v>97</v>
      </c>
      <c r="C161" s="5" t="s">
        <v>6</v>
      </c>
      <c r="D161" s="5" t="s">
        <v>8</v>
      </c>
      <c r="E161" s="5" t="s">
        <v>1</v>
      </c>
      <c r="F161" s="5">
        <v>24843</v>
      </c>
      <c r="G161" s="13">
        <f t="shared" si="21"/>
        <v>0.15755027491866594</v>
      </c>
      <c r="H161" s="5"/>
    </row>
    <row r="162" spans="2:8" ht="22.5" customHeight="1">
      <c r="B162" s="8">
        <v>98</v>
      </c>
      <c r="C162" s="5" t="s">
        <v>6</v>
      </c>
      <c r="D162" s="5" t="s">
        <v>8</v>
      </c>
      <c r="E162" s="5" t="s">
        <v>1</v>
      </c>
      <c r="F162" s="5">
        <v>20356</v>
      </c>
      <c r="G162" s="13">
        <f t="shared" si="21"/>
        <v>0.12909444898942815</v>
      </c>
      <c r="H162" s="5"/>
    </row>
    <row r="163" spans="2:8" ht="22.5" customHeight="1">
      <c r="B163" s="8">
        <v>99</v>
      </c>
      <c r="C163" s="5" t="s">
        <v>6</v>
      </c>
      <c r="D163" s="5" t="s">
        <v>8</v>
      </c>
      <c r="E163" s="5" t="s">
        <v>1</v>
      </c>
      <c r="F163" s="5">
        <v>35557</v>
      </c>
      <c r="G163" s="13">
        <f t="shared" si="21"/>
        <v>0.22549672444080845</v>
      </c>
      <c r="H163" s="5"/>
    </row>
    <row r="164" spans="2:8" ht="22.5" customHeight="1">
      <c r="B164" s="9">
        <v>11</v>
      </c>
      <c r="C164" s="5"/>
      <c r="D164" s="5"/>
      <c r="E164" s="5"/>
      <c r="F164" s="5"/>
      <c r="G164" s="13"/>
      <c r="H164" s="5"/>
    </row>
    <row r="165" spans="2:8" ht="22.5" customHeight="1">
      <c r="B165" s="9">
        <v>12</v>
      </c>
      <c r="C165" s="5"/>
      <c r="D165" s="5"/>
      <c r="E165" s="5"/>
      <c r="F165" s="5"/>
      <c r="G165" s="13"/>
      <c r="H165" s="5"/>
    </row>
    <row r="166" spans="2:8" ht="22.5" customHeight="1">
      <c r="B166" s="9">
        <v>13</v>
      </c>
      <c r="C166" s="5" t="s">
        <v>24</v>
      </c>
      <c r="D166" s="5" t="s">
        <v>7</v>
      </c>
      <c r="E166" s="5" t="s">
        <v>0</v>
      </c>
      <c r="F166" s="5">
        <v>29572</v>
      </c>
      <c r="G166" s="13">
        <f t="shared" ref="G166:G211" si="22">F166/$W$2</f>
        <v>0.18754082558043669</v>
      </c>
      <c r="H166" s="5"/>
    </row>
    <row r="167" spans="2:8" ht="22.5" customHeight="1">
      <c r="B167" s="9">
        <v>14</v>
      </c>
      <c r="C167" s="5" t="s">
        <v>24</v>
      </c>
      <c r="D167" s="5" t="s">
        <v>7</v>
      </c>
      <c r="E167" s="5" t="s">
        <v>0</v>
      </c>
      <c r="F167" s="5">
        <v>16515</v>
      </c>
      <c r="G167" s="13">
        <f t="shared" si="22"/>
        <v>0.10473545023877019</v>
      </c>
      <c r="H167" s="5"/>
    </row>
    <row r="168" spans="2:8" ht="22.5" customHeight="1">
      <c r="B168" s="9">
        <v>15</v>
      </c>
      <c r="C168" s="5" t="s">
        <v>24</v>
      </c>
      <c r="D168" s="5" t="s">
        <v>7</v>
      </c>
      <c r="E168" s="5" t="s">
        <v>0</v>
      </c>
      <c r="F168" s="5">
        <v>24330</v>
      </c>
      <c r="G168" s="13">
        <f t="shared" si="22"/>
        <v>0.15429691215920549</v>
      </c>
      <c r="H168" s="5"/>
    </row>
    <row r="169" spans="2:8" ht="22.5" customHeight="1">
      <c r="B169" s="9">
        <v>16</v>
      </c>
      <c r="C169" s="5" t="s">
        <v>24</v>
      </c>
      <c r="D169" s="5" t="s">
        <v>7</v>
      </c>
      <c r="E169" s="5" t="s">
        <v>0</v>
      </c>
      <c r="F169" s="5">
        <v>37269</v>
      </c>
      <c r="G169" s="13">
        <f t="shared" si="22"/>
        <v>0.23635395064781872</v>
      </c>
      <c r="H169" s="5"/>
    </row>
    <row r="170" spans="2:8" ht="22.5" customHeight="1">
      <c r="B170" s="9">
        <v>17</v>
      </c>
      <c r="C170" s="5" t="s">
        <v>24</v>
      </c>
      <c r="D170" s="5" t="s">
        <v>7</v>
      </c>
      <c r="E170" s="5" t="s">
        <v>0</v>
      </c>
      <c r="F170" s="5">
        <v>14436</v>
      </c>
      <c r="G170" s="13">
        <f t="shared" si="22"/>
        <v>9.1550769582009472E-2</v>
      </c>
      <c r="H170" s="5"/>
    </row>
    <row r="171" spans="2:8" ht="22.5" customHeight="1">
      <c r="B171" s="9">
        <v>18</v>
      </c>
      <c r="C171" s="5" t="s">
        <v>24</v>
      </c>
      <c r="D171" s="5" t="s">
        <v>7</v>
      </c>
      <c r="E171" s="5" t="s">
        <v>0</v>
      </c>
      <c r="F171" s="5">
        <v>33882</v>
      </c>
      <c r="G171" s="13">
        <f t="shared" si="22"/>
        <v>0.21487414623009457</v>
      </c>
      <c r="H171" s="5"/>
    </row>
    <row r="172" spans="2:8" ht="22.5" customHeight="1">
      <c r="B172" s="9">
        <v>19</v>
      </c>
      <c r="C172" s="5" t="s">
        <v>24</v>
      </c>
      <c r="D172" s="5" t="s">
        <v>7</v>
      </c>
      <c r="E172" s="5" t="s">
        <v>0</v>
      </c>
      <c r="F172" s="5">
        <v>11037</v>
      </c>
      <c r="G172" s="13">
        <f t="shared" si="22"/>
        <v>6.9994863111432437E-2</v>
      </c>
      <c r="H172" s="5"/>
    </row>
    <row r="173" spans="2:8" ht="22.5" customHeight="1">
      <c r="B173" s="9">
        <v>21</v>
      </c>
      <c r="C173" s="5" t="s">
        <v>24</v>
      </c>
      <c r="D173" s="5" t="s">
        <v>7</v>
      </c>
      <c r="E173" s="5" t="s">
        <v>0</v>
      </c>
      <c r="F173" s="5">
        <v>7659</v>
      </c>
      <c r="G173" s="13">
        <f t="shared" si="22"/>
        <v>4.857213523334792E-2</v>
      </c>
      <c r="H173" s="5"/>
    </row>
    <row r="174" spans="2:8" ht="22.5" customHeight="1">
      <c r="B174" s="9">
        <v>22</v>
      </c>
      <c r="C174" s="5" t="s">
        <v>24</v>
      </c>
      <c r="D174" s="5" t="s">
        <v>7</v>
      </c>
      <c r="E174" s="5" t="s">
        <v>0</v>
      </c>
      <c r="F174" s="5">
        <v>14476</v>
      </c>
      <c r="G174" s="13">
        <f t="shared" si="22"/>
        <v>9.1804443091519056E-2</v>
      </c>
      <c r="H174" s="5"/>
    </row>
    <row r="175" spans="2:8" ht="22.5" customHeight="1">
      <c r="B175" s="9">
        <v>23</v>
      </c>
      <c r="C175" s="5" t="s">
        <v>24</v>
      </c>
      <c r="D175" s="5" t="s">
        <v>7</v>
      </c>
      <c r="E175" s="5" t="s">
        <v>0</v>
      </c>
      <c r="F175" s="5">
        <v>14549</v>
      </c>
      <c r="G175" s="13">
        <f t="shared" si="22"/>
        <v>9.2267397246374061E-2</v>
      </c>
      <c r="H175" s="5"/>
    </row>
    <row r="176" spans="2:8" ht="22.5" customHeight="1">
      <c r="B176" s="9">
        <v>24</v>
      </c>
      <c r="C176" s="5" t="s">
        <v>24</v>
      </c>
      <c r="D176" s="5" t="s">
        <v>7</v>
      </c>
      <c r="E176" s="5" t="s">
        <v>0</v>
      </c>
      <c r="F176" s="5">
        <v>10314</v>
      </c>
      <c r="G176" s="13">
        <f t="shared" si="22"/>
        <v>6.540971442704667E-2</v>
      </c>
      <c r="H176" s="5"/>
    </row>
    <row r="177" spans="2:8" ht="22.5" customHeight="1">
      <c r="B177" s="9">
        <v>25</v>
      </c>
      <c r="C177" s="5" t="s">
        <v>24</v>
      </c>
      <c r="D177" s="5" t="s">
        <v>7</v>
      </c>
      <c r="E177" s="5" t="s">
        <v>0</v>
      </c>
      <c r="F177" s="5">
        <v>38266</v>
      </c>
      <c r="G177" s="13">
        <f t="shared" si="22"/>
        <v>0.24267676287234516</v>
      </c>
      <c r="H177" s="5"/>
    </row>
    <row r="178" spans="2:8" ht="22.5" customHeight="1">
      <c r="B178" s="9">
        <v>26</v>
      </c>
      <c r="C178" s="5" t="s">
        <v>24</v>
      </c>
      <c r="D178" s="5" t="s">
        <v>7</v>
      </c>
      <c r="E178" s="5" t="s">
        <v>0</v>
      </c>
      <c r="F178" s="5">
        <v>7781</v>
      </c>
      <c r="G178" s="13">
        <f t="shared" si="22"/>
        <v>4.9345839437352157E-2</v>
      </c>
      <c r="H178" s="5"/>
    </row>
    <row r="179" spans="2:8" ht="22.5" customHeight="1">
      <c r="B179" s="9">
        <v>27</v>
      </c>
      <c r="C179" s="5" t="s">
        <v>24</v>
      </c>
      <c r="D179" s="5" t="s">
        <v>7</v>
      </c>
      <c r="E179" s="5" t="s">
        <v>0</v>
      </c>
      <c r="F179" s="5">
        <v>10232</v>
      </c>
      <c r="G179" s="13">
        <f t="shared" si="22"/>
        <v>6.4889683732552023E-2</v>
      </c>
      <c r="H179" s="5"/>
    </row>
    <row r="180" spans="2:8" ht="22.5" customHeight="1">
      <c r="B180" s="9">
        <v>28</v>
      </c>
      <c r="C180" s="5" t="s">
        <v>24</v>
      </c>
      <c r="D180" s="5" t="s">
        <v>7</v>
      </c>
      <c r="E180" s="5" t="s">
        <v>0</v>
      </c>
      <c r="F180" s="5">
        <v>18321</v>
      </c>
      <c r="G180" s="13">
        <f t="shared" si="22"/>
        <v>0.11618880919312799</v>
      </c>
      <c r="H180" s="5"/>
    </row>
    <row r="181" spans="2:8" ht="22.5" customHeight="1">
      <c r="B181" s="9">
        <v>29</v>
      </c>
      <c r="C181" s="5" t="s">
        <v>24</v>
      </c>
      <c r="D181" s="5" t="s">
        <v>7</v>
      </c>
      <c r="E181" s="5" t="s">
        <v>0</v>
      </c>
      <c r="F181" s="5">
        <v>17502</v>
      </c>
      <c r="G181" s="13">
        <f t="shared" si="22"/>
        <v>0.11099484408591921</v>
      </c>
      <c r="H181" s="5"/>
    </row>
    <row r="182" spans="2:8" ht="22.5" customHeight="1">
      <c r="B182" s="9">
        <v>31</v>
      </c>
      <c r="C182" s="5" t="s">
        <v>24</v>
      </c>
      <c r="D182" s="5" t="s">
        <v>7</v>
      </c>
      <c r="E182" s="5" t="s">
        <v>0</v>
      </c>
      <c r="F182" s="5">
        <v>15477</v>
      </c>
      <c r="G182" s="13">
        <f t="shared" si="22"/>
        <v>9.8152622666996439E-2</v>
      </c>
      <c r="H182" s="5"/>
    </row>
    <row r="183" spans="2:8" ht="22.5" customHeight="1">
      <c r="B183" s="9">
        <v>32</v>
      </c>
      <c r="C183" s="5" t="s">
        <v>24</v>
      </c>
      <c r="D183" s="5" t="s">
        <v>7</v>
      </c>
      <c r="E183" s="5" t="s">
        <v>0</v>
      </c>
      <c r="F183" s="5">
        <v>29918</v>
      </c>
      <c r="G183" s="13">
        <f t="shared" si="22"/>
        <v>0.18973510143769462</v>
      </c>
      <c r="H183" s="5"/>
    </row>
    <row r="184" spans="2:8" ht="22.5" customHeight="1">
      <c r="B184" s="9">
        <v>33</v>
      </c>
      <c r="C184" s="5" t="s">
        <v>24</v>
      </c>
      <c r="D184" s="5" t="s">
        <v>7</v>
      </c>
      <c r="E184" s="5" t="s">
        <v>0</v>
      </c>
      <c r="F184" s="5">
        <v>8876</v>
      </c>
      <c r="G184" s="13">
        <f t="shared" si="22"/>
        <v>5.6290151760177064E-2</v>
      </c>
      <c r="H184" s="5"/>
    </row>
    <row r="185" spans="2:8" ht="22.5" customHeight="1">
      <c r="B185" s="9">
        <v>34</v>
      </c>
      <c r="C185" s="5" t="s">
        <v>24</v>
      </c>
      <c r="D185" s="5" t="s">
        <v>7</v>
      </c>
      <c r="E185" s="5" t="s">
        <v>0</v>
      </c>
      <c r="F185" s="5">
        <v>19152</v>
      </c>
      <c r="G185" s="13">
        <f t="shared" si="22"/>
        <v>0.12145887635318962</v>
      </c>
      <c r="H185" s="5"/>
    </row>
    <row r="186" spans="2:8" ht="22.5" customHeight="1">
      <c r="B186" s="9">
        <v>35</v>
      </c>
      <c r="C186" s="5" t="s">
        <v>24</v>
      </c>
      <c r="D186" s="5" t="s">
        <v>7</v>
      </c>
      <c r="E186" s="5" t="s">
        <v>0</v>
      </c>
      <c r="F186" s="5">
        <v>13746</v>
      </c>
      <c r="G186" s="13">
        <f t="shared" si="22"/>
        <v>8.7174901542969127E-2</v>
      </c>
      <c r="H186" s="5"/>
    </row>
    <row r="187" spans="2:8" ht="22.5" customHeight="1">
      <c r="B187" s="9">
        <v>36</v>
      </c>
      <c r="C187" s="5" t="s">
        <v>24</v>
      </c>
      <c r="D187" s="5" t="s">
        <v>7</v>
      </c>
      <c r="E187" s="5" t="s">
        <v>0</v>
      </c>
      <c r="F187" s="5">
        <v>17466</v>
      </c>
      <c r="G187" s="13">
        <f t="shared" si="22"/>
        <v>0.11076653792736059</v>
      </c>
      <c r="H187" s="5"/>
    </row>
    <row r="188" spans="2:8" ht="22.5" customHeight="1">
      <c r="B188" s="9">
        <v>37</v>
      </c>
      <c r="C188" s="5" t="s">
        <v>24</v>
      </c>
      <c r="D188" s="5" t="s">
        <v>7</v>
      </c>
      <c r="E188" s="5" t="s">
        <v>0</v>
      </c>
      <c r="F188" s="5">
        <v>45065</v>
      </c>
      <c r="G188" s="13">
        <f t="shared" si="22"/>
        <v>0.28579491765123699</v>
      </c>
      <c r="H188" s="5"/>
    </row>
    <row r="189" spans="2:8" ht="22.5" customHeight="1">
      <c r="B189" s="9">
        <v>38</v>
      </c>
      <c r="C189" s="5" t="s">
        <v>24</v>
      </c>
      <c r="D189" s="5" t="s">
        <v>7</v>
      </c>
      <c r="E189" s="5" t="s">
        <v>0</v>
      </c>
      <c r="F189" s="5">
        <v>10247</v>
      </c>
      <c r="G189" s="13">
        <f t="shared" si="22"/>
        <v>6.498481129861812E-2</v>
      </c>
      <c r="H189" s="5"/>
    </row>
    <row r="190" spans="2:8" ht="22.5" customHeight="1">
      <c r="B190" s="9">
        <v>39</v>
      </c>
      <c r="C190" s="5" t="s">
        <v>24</v>
      </c>
      <c r="D190" s="5" t="s">
        <v>7</v>
      </c>
      <c r="E190" s="5" t="s">
        <v>0</v>
      </c>
      <c r="F190" s="5">
        <v>11685</v>
      </c>
      <c r="G190" s="13">
        <f t="shared" si="22"/>
        <v>7.4104373965487719E-2</v>
      </c>
      <c r="H190" s="5"/>
    </row>
    <row r="191" spans="2:8" ht="22.5" customHeight="1">
      <c r="B191" s="9">
        <v>41</v>
      </c>
      <c r="C191" s="5" t="s">
        <v>23</v>
      </c>
      <c r="D191" s="5" t="s">
        <v>7</v>
      </c>
      <c r="E191" s="5" t="s">
        <v>0</v>
      </c>
      <c r="F191" s="5">
        <v>16333</v>
      </c>
      <c r="G191" s="13">
        <f t="shared" si="22"/>
        <v>0.10358123577050157</v>
      </c>
      <c r="H191" s="5"/>
    </row>
    <row r="192" spans="2:8" ht="22.5" customHeight="1">
      <c r="B192" s="9">
        <v>42</v>
      </c>
      <c r="C192" s="5" t="s">
        <v>23</v>
      </c>
      <c r="D192" s="5" t="s">
        <v>7</v>
      </c>
      <c r="E192" s="5" t="s">
        <v>0</v>
      </c>
      <c r="F192" s="5">
        <v>25150</v>
      </c>
      <c r="G192" s="13">
        <f t="shared" si="22"/>
        <v>0.15949721910415199</v>
      </c>
      <c r="H192" s="5"/>
    </row>
    <row r="193" spans="2:8" ht="22.5" customHeight="1">
      <c r="B193" s="9">
        <v>43</v>
      </c>
      <c r="C193" s="5" t="s">
        <v>23</v>
      </c>
      <c r="D193" s="5" t="s">
        <v>7</v>
      </c>
      <c r="E193" s="5" t="s">
        <v>0</v>
      </c>
      <c r="F193" s="5">
        <v>14359</v>
      </c>
      <c r="G193" s="13">
        <f t="shared" si="22"/>
        <v>9.106244807620352E-2</v>
      </c>
      <c r="H193" s="5"/>
    </row>
    <row r="194" spans="2:8" ht="22.5" customHeight="1">
      <c r="B194" s="9">
        <v>44</v>
      </c>
      <c r="C194" s="5" t="s">
        <v>23</v>
      </c>
      <c r="D194" s="5" t="s">
        <v>7</v>
      </c>
      <c r="E194" s="5" t="s">
        <v>0</v>
      </c>
      <c r="F194" s="5">
        <v>5218</v>
      </c>
      <c r="G194" s="13">
        <f t="shared" si="22"/>
        <v>3.309170931552545E-2</v>
      </c>
      <c r="H194" s="5"/>
    </row>
    <row r="195" spans="2:8" ht="22.5" customHeight="1">
      <c r="B195" s="9">
        <v>45</v>
      </c>
      <c r="C195" s="5" t="s">
        <v>23</v>
      </c>
      <c r="D195" s="5" t="s">
        <v>7</v>
      </c>
      <c r="E195" s="5" t="s">
        <v>0</v>
      </c>
      <c r="F195" s="5">
        <v>26710</v>
      </c>
      <c r="G195" s="13">
        <f t="shared" si="22"/>
        <v>0.16939048597502585</v>
      </c>
      <c r="H195" s="5"/>
    </row>
    <row r="196" spans="2:8" ht="22.5" customHeight="1">
      <c r="B196" s="9">
        <v>46</v>
      </c>
      <c r="C196" s="5" t="s">
        <v>23</v>
      </c>
      <c r="D196" s="5" t="s">
        <v>7</v>
      </c>
      <c r="E196" s="5" t="s">
        <v>0</v>
      </c>
      <c r="F196" s="5">
        <v>14840</v>
      </c>
      <c r="G196" s="13">
        <f t="shared" si="22"/>
        <v>9.4112872028056294E-2</v>
      </c>
      <c r="H196" s="5"/>
    </row>
    <row r="197" spans="2:8" ht="22.5" customHeight="1">
      <c r="B197" s="9">
        <v>47</v>
      </c>
      <c r="C197" s="5" t="s">
        <v>23</v>
      </c>
      <c r="D197" s="5" t="s">
        <v>7</v>
      </c>
      <c r="E197" s="5" t="s">
        <v>0</v>
      </c>
      <c r="F197" s="5">
        <v>14191</v>
      </c>
      <c r="G197" s="13">
        <f t="shared" si="22"/>
        <v>8.9997019336263265E-2</v>
      </c>
      <c r="H197" s="5"/>
    </row>
    <row r="198" spans="2:8" ht="22.5" customHeight="1">
      <c r="B198" s="9">
        <v>48</v>
      </c>
      <c r="C198" s="5" t="s">
        <v>23</v>
      </c>
      <c r="D198" s="5" t="s">
        <v>7</v>
      </c>
      <c r="E198" s="5" t="s">
        <v>0</v>
      </c>
      <c r="F198" s="5">
        <v>19994</v>
      </c>
      <c r="G198" s="13">
        <f t="shared" si="22"/>
        <v>0.12679870372836641</v>
      </c>
      <c r="H198" s="5"/>
    </row>
    <row r="199" spans="2:8" ht="22.5" customHeight="1">
      <c r="B199" s="9">
        <v>49</v>
      </c>
      <c r="C199" s="5" t="s">
        <v>23</v>
      </c>
      <c r="D199" s="5" t="s">
        <v>7</v>
      </c>
      <c r="E199" s="5" t="s">
        <v>0</v>
      </c>
      <c r="F199" s="5">
        <v>12735</v>
      </c>
      <c r="G199" s="13">
        <f t="shared" si="22"/>
        <v>8.0763303590114341E-2</v>
      </c>
      <c r="H199" s="5"/>
    </row>
    <row r="200" spans="2:8" ht="22.5" customHeight="1">
      <c r="B200" s="9">
        <v>51</v>
      </c>
      <c r="C200" s="5" t="s">
        <v>23</v>
      </c>
      <c r="D200" s="5" t="s">
        <v>7</v>
      </c>
      <c r="E200" s="5" t="s">
        <v>0</v>
      </c>
      <c r="F200" s="5">
        <v>10972</v>
      </c>
      <c r="G200" s="13">
        <f t="shared" si="22"/>
        <v>6.9582643658479354E-2</v>
      </c>
      <c r="H200" s="5"/>
    </row>
    <row r="201" spans="2:8" ht="22.5" customHeight="1">
      <c r="B201" s="9">
        <v>52</v>
      </c>
      <c r="C201" s="5" t="s">
        <v>23</v>
      </c>
      <c r="D201" s="5" t="s">
        <v>7</v>
      </c>
      <c r="E201" s="5" t="s">
        <v>0</v>
      </c>
      <c r="F201" s="5">
        <v>21473</v>
      </c>
      <c r="G201" s="13">
        <f t="shared" si="22"/>
        <v>0.13617828174248334</v>
      </c>
      <c r="H201" s="5"/>
    </row>
    <row r="202" spans="2:8" ht="22.5" customHeight="1">
      <c r="B202" s="9">
        <v>53</v>
      </c>
      <c r="C202" s="5" t="s">
        <v>23</v>
      </c>
      <c r="D202" s="5" t="s">
        <v>7</v>
      </c>
      <c r="E202" s="5" t="s">
        <v>0</v>
      </c>
      <c r="F202" s="5">
        <v>9635</v>
      </c>
      <c r="G202" s="13">
        <f t="shared" si="22"/>
        <v>6.1103606603121453E-2</v>
      </c>
      <c r="H202" s="5"/>
    </row>
    <row r="203" spans="2:8" ht="22.5" customHeight="1">
      <c r="B203" s="9">
        <v>54</v>
      </c>
      <c r="C203" s="5" t="s">
        <v>23</v>
      </c>
      <c r="D203" s="5" t="s">
        <v>7</v>
      </c>
      <c r="E203" s="5" t="s">
        <v>0</v>
      </c>
      <c r="F203" s="5">
        <v>18856</v>
      </c>
      <c r="G203" s="13">
        <f t="shared" si="22"/>
        <v>0.1195816923828187</v>
      </c>
      <c r="H203" s="5"/>
    </row>
    <row r="204" spans="2:8" ht="22.5" customHeight="1">
      <c r="B204" s="9">
        <v>55</v>
      </c>
      <c r="C204" s="5" t="s">
        <v>23</v>
      </c>
      <c r="D204" s="5" t="s">
        <v>7</v>
      </c>
      <c r="E204" s="5" t="s">
        <v>0</v>
      </c>
      <c r="F204" s="5">
        <v>7804</v>
      </c>
      <c r="G204" s="13">
        <f t="shared" si="22"/>
        <v>4.9491701705320169E-2</v>
      </c>
      <c r="H204" s="5"/>
    </row>
    <row r="205" spans="2:8" ht="22.5" customHeight="1">
      <c r="B205" s="9">
        <v>56</v>
      </c>
      <c r="C205" s="5" t="s">
        <v>23</v>
      </c>
      <c r="D205" s="5" t="s">
        <v>7</v>
      </c>
      <c r="E205" s="5" t="s">
        <v>0</v>
      </c>
      <c r="F205" s="5">
        <v>29305</v>
      </c>
      <c r="G205" s="13">
        <f t="shared" si="22"/>
        <v>0.18584755490446023</v>
      </c>
      <c r="H205" s="5"/>
    </row>
    <row r="206" spans="2:8" ht="22.5" customHeight="1">
      <c r="B206" s="9">
        <v>57</v>
      </c>
      <c r="C206" s="5" t="s">
        <v>23</v>
      </c>
      <c r="D206" s="5" t="s">
        <v>7</v>
      </c>
      <c r="E206" s="5" t="s">
        <v>0</v>
      </c>
      <c r="F206" s="5">
        <v>8667</v>
      </c>
      <c r="G206" s="13">
        <f t="shared" si="22"/>
        <v>5.4964707672989478E-2</v>
      </c>
      <c r="H206" s="5"/>
    </row>
    <row r="207" spans="2:8" ht="22.5" customHeight="1">
      <c r="B207" s="9">
        <v>58</v>
      </c>
      <c r="C207" s="5" t="s">
        <v>23</v>
      </c>
      <c r="D207" s="5" t="s">
        <v>7</v>
      </c>
      <c r="E207" s="5" t="s">
        <v>0</v>
      </c>
      <c r="F207" s="5">
        <v>11530</v>
      </c>
      <c r="G207" s="13">
        <f t="shared" si="22"/>
        <v>7.312138911613808E-2</v>
      </c>
      <c r="H207" s="5"/>
    </row>
    <row r="208" spans="2:8" ht="22.5" customHeight="1">
      <c r="B208" s="9">
        <v>59</v>
      </c>
      <c r="C208" s="5" t="s">
        <v>23</v>
      </c>
      <c r="D208" s="5" t="s">
        <v>7</v>
      </c>
      <c r="E208" s="5" t="s">
        <v>0</v>
      </c>
      <c r="F208" s="5">
        <v>29312</v>
      </c>
      <c r="G208" s="13">
        <f t="shared" si="22"/>
        <v>0.18589194776862439</v>
      </c>
      <c r="H208" s="5"/>
    </row>
    <row r="209" spans="2:8" ht="22.5" customHeight="1">
      <c r="B209" s="9">
        <v>61</v>
      </c>
      <c r="C209" s="5" t="s">
        <v>23</v>
      </c>
      <c r="D209" s="5" t="s">
        <v>7</v>
      </c>
      <c r="E209" s="5" t="s">
        <v>0</v>
      </c>
      <c r="F209" s="5">
        <v>8586</v>
      </c>
      <c r="G209" s="13">
        <f t="shared" si="22"/>
        <v>5.4451018816232565E-2</v>
      </c>
      <c r="H209" s="5"/>
    </row>
    <row r="210" spans="2:8" ht="22.5" customHeight="1">
      <c r="B210" s="9">
        <v>62</v>
      </c>
      <c r="C210" s="5" t="s">
        <v>23</v>
      </c>
      <c r="D210" s="5" t="s">
        <v>7</v>
      </c>
      <c r="E210" s="5" t="s">
        <v>0</v>
      </c>
      <c r="F210" s="5">
        <v>13416</v>
      </c>
      <c r="G210" s="13">
        <f t="shared" si="22"/>
        <v>8.5082095089515045E-2</v>
      </c>
      <c r="H210" s="5"/>
    </row>
    <row r="211" spans="2:8" ht="22.5" customHeight="1">
      <c r="B211" s="9">
        <v>63</v>
      </c>
      <c r="C211" s="5" t="s">
        <v>23</v>
      </c>
      <c r="D211" s="5" t="s">
        <v>7</v>
      </c>
      <c r="E211" s="5" t="s">
        <v>0</v>
      </c>
      <c r="F211" s="5">
        <v>9704</v>
      </c>
      <c r="G211" s="13">
        <f t="shared" si="22"/>
        <v>6.1541193407025491E-2</v>
      </c>
      <c r="H211" s="5"/>
    </row>
    <row r="212" spans="2:8" ht="22.5" customHeight="1">
      <c r="B212" s="9">
        <v>64</v>
      </c>
      <c r="C212" s="5"/>
      <c r="D212" s="5"/>
      <c r="E212" s="5"/>
      <c r="F212" s="5"/>
      <c r="G212" s="13"/>
      <c r="H212" s="5"/>
    </row>
    <row r="213" spans="2:8" ht="22.5" customHeight="1">
      <c r="B213" s="9">
        <v>65</v>
      </c>
      <c r="C213" s="5"/>
      <c r="D213" s="5"/>
      <c r="E213" s="5"/>
      <c r="F213" s="5"/>
      <c r="G213" s="13"/>
      <c r="H213" s="5"/>
    </row>
    <row r="214" spans="2:8" ht="22.5" customHeight="1">
      <c r="B214" s="9">
        <v>66</v>
      </c>
      <c r="C214" s="5" t="s">
        <v>23</v>
      </c>
      <c r="D214" s="5" t="s">
        <v>7</v>
      </c>
      <c r="E214" s="5" t="s">
        <v>0</v>
      </c>
      <c r="F214" s="5">
        <v>37389</v>
      </c>
      <c r="G214" s="13">
        <f t="shared" ref="G214:G245" si="23">F214/$W$2</f>
        <v>0.23711497117634747</v>
      </c>
      <c r="H214" s="5"/>
    </row>
    <row r="215" spans="2:8" ht="22.5" customHeight="1">
      <c r="B215" s="9">
        <v>67</v>
      </c>
      <c r="C215" s="5" t="s">
        <v>23</v>
      </c>
      <c r="D215" s="5" t="s">
        <v>7</v>
      </c>
      <c r="E215" s="5" t="s">
        <v>0</v>
      </c>
      <c r="F215" s="5">
        <v>14366</v>
      </c>
      <c r="G215" s="13">
        <f t="shared" si="23"/>
        <v>9.1106840940367695E-2</v>
      </c>
      <c r="H215" s="5"/>
    </row>
    <row r="216" spans="2:8" ht="22.5" customHeight="1">
      <c r="B216" s="9">
        <v>68</v>
      </c>
      <c r="C216" s="5" t="s">
        <v>23</v>
      </c>
      <c r="D216" s="5" t="s">
        <v>7</v>
      </c>
      <c r="E216" s="5" t="s">
        <v>0</v>
      </c>
      <c r="F216" s="5">
        <v>16834</v>
      </c>
      <c r="G216" s="13">
        <f t="shared" si="23"/>
        <v>0.10675849647710914</v>
      </c>
      <c r="H216" s="5"/>
    </row>
    <row r="217" spans="2:8" ht="22.5" customHeight="1">
      <c r="B217" s="9">
        <v>69</v>
      </c>
      <c r="C217" s="5" t="s">
        <v>23</v>
      </c>
      <c r="D217" s="5" t="s">
        <v>7</v>
      </c>
      <c r="E217" s="5" t="s">
        <v>0</v>
      </c>
      <c r="F217" s="5">
        <v>29760</v>
      </c>
      <c r="G217" s="13">
        <f t="shared" si="23"/>
        <v>0.18873309107513175</v>
      </c>
      <c r="H217" s="5"/>
    </row>
    <row r="218" spans="2:8" ht="22.5" customHeight="1">
      <c r="B218" s="9">
        <v>71</v>
      </c>
      <c r="C218" s="5" t="s">
        <v>23</v>
      </c>
      <c r="D218" s="5" t="s">
        <v>8</v>
      </c>
      <c r="E218" s="5" t="s">
        <v>0</v>
      </c>
      <c r="F218" s="5">
        <v>6756</v>
      </c>
      <c r="G218" s="13">
        <f t="shared" si="23"/>
        <v>4.2845455756169021E-2</v>
      </c>
      <c r="H218" s="5"/>
    </row>
    <row r="219" spans="2:8" ht="22.5" customHeight="1">
      <c r="B219" s="9">
        <v>72</v>
      </c>
      <c r="C219" s="5" t="s">
        <v>23</v>
      </c>
      <c r="D219" s="5" t="s">
        <v>8</v>
      </c>
      <c r="E219" s="5" t="s">
        <v>0</v>
      </c>
      <c r="F219" s="5">
        <v>27432</v>
      </c>
      <c r="G219" s="13">
        <f t="shared" si="23"/>
        <v>0.17396929282167387</v>
      </c>
      <c r="H219" s="5"/>
    </row>
    <row r="220" spans="2:8" ht="22.5" customHeight="1">
      <c r="B220" s="9">
        <v>73</v>
      </c>
      <c r="C220" s="5" t="s">
        <v>23</v>
      </c>
      <c r="D220" s="5" t="s">
        <v>8</v>
      </c>
      <c r="E220" s="5" t="s">
        <v>0</v>
      </c>
      <c r="F220" s="5">
        <v>17703</v>
      </c>
      <c r="G220" s="13">
        <f t="shared" si="23"/>
        <v>0.11226955347120489</v>
      </c>
      <c r="H220" s="5"/>
    </row>
    <row r="221" spans="2:8" ht="22.5" customHeight="1">
      <c r="B221" s="9">
        <v>74</v>
      </c>
      <c r="C221" s="5" t="s">
        <v>23</v>
      </c>
      <c r="D221" s="5" t="s">
        <v>8</v>
      </c>
      <c r="E221" s="5" t="s">
        <v>0</v>
      </c>
      <c r="F221" s="5">
        <v>25134</v>
      </c>
      <c r="G221" s="13">
        <f t="shared" si="23"/>
        <v>0.15939574970034817</v>
      </c>
      <c r="H221" s="5"/>
    </row>
    <row r="222" spans="2:8" ht="22.5" customHeight="1">
      <c r="B222" s="9">
        <v>75</v>
      </c>
      <c r="C222" s="5" t="s">
        <v>23</v>
      </c>
      <c r="D222" s="5" t="s">
        <v>8</v>
      </c>
      <c r="E222" s="5" t="s">
        <v>0</v>
      </c>
      <c r="F222" s="5">
        <v>5642</v>
      </c>
      <c r="G222" s="13">
        <f t="shared" si="23"/>
        <v>3.5780648516327063E-2</v>
      </c>
      <c r="H222" s="5"/>
    </row>
    <row r="223" spans="2:8" ht="22.5" customHeight="1">
      <c r="B223" s="9">
        <v>76</v>
      </c>
      <c r="C223" s="5" t="s">
        <v>23</v>
      </c>
      <c r="D223" s="5" t="s">
        <v>8</v>
      </c>
      <c r="E223" s="5" t="s">
        <v>0</v>
      </c>
      <c r="F223" s="5">
        <v>13427</v>
      </c>
      <c r="G223" s="13">
        <f t="shared" si="23"/>
        <v>8.5151855304630181E-2</v>
      </c>
      <c r="H223" s="5"/>
    </row>
    <row r="224" spans="2:8" ht="22.5" customHeight="1">
      <c r="B224" s="9">
        <v>77</v>
      </c>
      <c r="C224" s="5" t="s">
        <v>23</v>
      </c>
      <c r="D224" s="5" t="s">
        <v>8</v>
      </c>
      <c r="E224" s="5" t="s">
        <v>0</v>
      </c>
      <c r="F224" s="5">
        <v>14134</v>
      </c>
      <c r="G224" s="13">
        <f t="shared" si="23"/>
        <v>8.9635534585212104E-2</v>
      </c>
      <c r="H224" s="5"/>
    </row>
    <row r="225" spans="2:8" ht="22.5" customHeight="1">
      <c r="B225" s="9">
        <v>78</v>
      </c>
      <c r="C225" s="5" t="s">
        <v>23</v>
      </c>
      <c r="D225" s="5" t="s">
        <v>8</v>
      </c>
      <c r="E225" s="5" t="s">
        <v>0</v>
      </c>
      <c r="F225" s="5">
        <v>14735</v>
      </c>
      <c r="G225" s="13">
        <f t="shared" si="23"/>
        <v>9.3446979065593627E-2</v>
      </c>
      <c r="H225" s="5"/>
    </row>
    <row r="226" spans="2:8" ht="22.5" customHeight="1">
      <c r="B226" s="9">
        <v>79</v>
      </c>
      <c r="C226" s="5" t="s">
        <v>23</v>
      </c>
      <c r="D226" s="5" t="s">
        <v>8</v>
      </c>
      <c r="E226" s="5" t="s">
        <v>0</v>
      </c>
      <c r="F226" s="5">
        <v>22505</v>
      </c>
      <c r="G226" s="13">
        <f t="shared" si="23"/>
        <v>0.14272305828783063</v>
      </c>
      <c r="H226" s="5"/>
    </row>
    <row r="227" spans="2:8" ht="22.5" customHeight="1">
      <c r="B227" s="9">
        <v>81</v>
      </c>
      <c r="C227" s="5" t="s">
        <v>23</v>
      </c>
      <c r="D227" s="5" t="s">
        <v>8</v>
      </c>
      <c r="E227" s="5" t="s">
        <v>0</v>
      </c>
      <c r="F227" s="5">
        <v>12367</v>
      </c>
      <c r="G227" s="13">
        <f t="shared" si="23"/>
        <v>7.8429507302626156E-2</v>
      </c>
      <c r="H227" s="5"/>
    </row>
    <row r="228" spans="2:8" ht="22.5" customHeight="1">
      <c r="B228" s="9">
        <v>82</v>
      </c>
      <c r="C228" s="5" t="s">
        <v>23</v>
      </c>
      <c r="D228" s="5" t="s">
        <v>8</v>
      </c>
      <c r="E228" s="5" t="s">
        <v>0</v>
      </c>
      <c r="F228" s="5">
        <v>10448</v>
      </c>
      <c r="G228" s="13">
        <f t="shared" si="23"/>
        <v>6.6259520683903783E-2</v>
      </c>
      <c r="H228" s="5"/>
    </row>
    <row r="229" spans="2:8" ht="22.5" customHeight="1">
      <c r="B229" s="9">
        <v>83</v>
      </c>
      <c r="C229" s="5" t="s">
        <v>23</v>
      </c>
      <c r="D229" s="5" t="s">
        <v>8</v>
      </c>
      <c r="E229" s="5" t="s">
        <v>0</v>
      </c>
      <c r="F229" s="5">
        <v>16488</v>
      </c>
      <c r="G229" s="13">
        <f t="shared" si="23"/>
        <v>0.10456422061985123</v>
      </c>
      <c r="H229" s="5"/>
    </row>
    <row r="230" spans="2:8" ht="22.5" customHeight="1">
      <c r="B230" s="9">
        <v>84</v>
      </c>
      <c r="C230" s="5" t="s">
        <v>23</v>
      </c>
      <c r="D230" s="5" t="s">
        <v>8</v>
      </c>
      <c r="E230" s="5" t="s">
        <v>0</v>
      </c>
      <c r="F230" s="5">
        <v>8758</v>
      </c>
      <c r="G230" s="13">
        <f t="shared" si="23"/>
        <v>5.5541814907123788E-2</v>
      </c>
      <c r="H230" s="5"/>
    </row>
    <row r="231" spans="2:8" ht="22.5" customHeight="1">
      <c r="B231" s="9">
        <v>85</v>
      </c>
      <c r="C231" s="5" t="s">
        <v>23</v>
      </c>
      <c r="D231" s="5" t="s">
        <v>8</v>
      </c>
      <c r="E231" s="5" t="s">
        <v>0</v>
      </c>
      <c r="F231" s="5">
        <v>14694</v>
      </c>
      <c r="G231" s="13">
        <f t="shared" si="23"/>
        <v>9.3186963718346297E-2</v>
      </c>
      <c r="H231" s="5"/>
    </row>
    <row r="232" spans="2:8" ht="22.5" customHeight="1">
      <c r="B232" s="9">
        <v>86</v>
      </c>
      <c r="C232" s="5" t="s">
        <v>23</v>
      </c>
      <c r="D232" s="5" t="s">
        <v>8</v>
      </c>
      <c r="E232" s="5" t="s">
        <v>0</v>
      </c>
      <c r="F232" s="5">
        <v>43926</v>
      </c>
      <c r="G232" s="13">
        <f t="shared" si="23"/>
        <v>0.2785715644679515</v>
      </c>
      <c r="H232" s="5"/>
    </row>
    <row r="233" spans="2:8" ht="22.5" customHeight="1">
      <c r="B233" s="9">
        <v>87</v>
      </c>
      <c r="C233" s="5" t="s">
        <v>23</v>
      </c>
      <c r="D233" s="5" t="s">
        <v>8</v>
      </c>
      <c r="E233" s="5" t="s">
        <v>0</v>
      </c>
      <c r="F233" s="5">
        <v>39131</v>
      </c>
      <c r="G233" s="13">
        <f t="shared" si="23"/>
        <v>0.24816245251548993</v>
      </c>
      <c r="H233" s="5"/>
    </row>
    <row r="234" spans="2:8" ht="22.5" customHeight="1">
      <c r="B234" s="9">
        <v>88</v>
      </c>
      <c r="C234" s="5" t="s">
        <v>23</v>
      </c>
      <c r="D234" s="5" t="s">
        <v>8</v>
      </c>
      <c r="E234" s="5" t="s">
        <v>0</v>
      </c>
      <c r="F234" s="5">
        <v>40756</v>
      </c>
      <c r="G234" s="13">
        <f t="shared" si="23"/>
        <v>0.25846793883931685</v>
      </c>
      <c r="H234" s="5"/>
    </row>
    <row r="235" spans="2:8" ht="22.5" customHeight="1">
      <c r="B235" s="9">
        <v>89</v>
      </c>
      <c r="C235" s="5" t="s">
        <v>23</v>
      </c>
      <c r="D235" s="5" t="s">
        <v>8</v>
      </c>
      <c r="E235" s="5" t="s">
        <v>0</v>
      </c>
      <c r="F235" s="5">
        <v>15855</v>
      </c>
      <c r="G235" s="13">
        <f t="shared" si="23"/>
        <v>0.10054983733186203</v>
      </c>
      <c r="H235" s="5"/>
    </row>
    <row r="236" spans="2:8" ht="22.5" customHeight="1">
      <c r="B236" s="9">
        <v>91</v>
      </c>
      <c r="C236" s="5" t="s">
        <v>23</v>
      </c>
      <c r="D236" s="5" t="s">
        <v>8</v>
      </c>
      <c r="E236" s="5" t="s">
        <v>0</v>
      </c>
      <c r="F236" s="5">
        <v>28280</v>
      </c>
      <c r="G236" s="13">
        <f t="shared" si="23"/>
        <v>0.17934717122327709</v>
      </c>
      <c r="H236" s="5"/>
    </row>
    <row r="237" spans="2:8" ht="22.5" customHeight="1">
      <c r="B237" s="9">
        <v>92</v>
      </c>
      <c r="C237" s="5" t="s">
        <v>23</v>
      </c>
      <c r="D237" s="5" t="s">
        <v>8</v>
      </c>
      <c r="E237" s="5" t="s">
        <v>0</v>
      </c>
      <c r="F237" s="5">
        <v>24695</v>
      </c>
      <c r="G237" s="13">
        <f t="shared" si="23"/>
        <v>0.15661168293348046</v>
      </c>
      <c r="H237" s="5"/>
    </row>
    <row r="238" spans="2:8" ht="22.5" customHeight="1">
      <c r="B238" s="9">
        <v>93</v>
      </c>
      <c r="C238" s="5" t="s">
        <v>23</v>
      </c>
      <c r="D238" s="5" t="s">
        <v>8</v>
      </c>
      <c r="E238" s="5" t="s">
        <v>0</v>
      </c>
      <c r="F238" s="5">
        <v>9651</v>
      </c>
      <c r="G238" s="13">
        <f t="shared" si="23"/>
        <v>6.1205076006925284E-2</v>
      </c>
      <c r="H238" s="5"/>
    </row>
    <row r="239" spans="2:8" ht="22.5" customHeight="1">
      <c r="B239" s="9">
        <v>94</v>
      </c>
      <c r="C239" s="5" t="s">
        <v>23</v>
      </c>
      <c r="D239" s="5" t="s">
        <v>8</v>
      </c>
      <c r="E239" s="5" t="s">
        <v>0</v>
      </c>
      <c r="F239" s="5">
        <v>37751</v>
      </c>
      <c r="G239" s="13">
        <f t="shared" si="23"/>
        <v>0.23941071643740924</v>
      </c>
      <c r="H239" s="5"/>
    </row>
    <row r="240" spans="2:8" ht="22.5" customHeight="1">
      <c r="B240" s="9">
        <v>95</v>
      </c>
      <c r="C240" s="5" t="s">
        <v>23</v>
      </c>
      <c r="D240" s="5" t="s">
        <v>8</v>
      </c>
      <c r="E240" s="5" t="s">
        <v>0</v>
      </c>
      <c r="F240" s="5">
        <v>44738</v>
      </c>
      <c r="G240" s="13">
        <f t="shared" si="23"/>
        <v>0.28372113671099614</v>
      </c>
      <c r="H240" s="5"/>
    </row>
    <row r="241" spans="2:8" ht="22.5" customHeight="1">
      <c r="B241" s="9">
        <v>96</v>
      </c>
      <c r="C241" s="5" t="s">
        <v>23</v>
      </c>
      <c r="D241" s="5" t="s">
        <v>8</v>
      </c>
      <c r="E241" s="5" t="s">
        <v>0</v>
      </c>
      <c r="F241" s="5">
        <v>48025</v>
      </c>
      <c r="G241" s="13">
        <f t="shared" si="23"/>
        <v>0.30456675735494632</v>
      </c>
      <c r="H241" s="5"/>
    </row>
    <row r="242" spans="2:8" ht="22.5" customHeight="1">
      <c r="B242" s="9">
        <v>97</v>
      </c>
      <c r="C242" s="5" t="s">
        <v>23</v>
      </c>
      <c r="D242" s="5" t="s">
        <v>8</v>
      </c>
      <c r="E242" s="5" t="s">
        <v>0</v>
      </c>
      <c r="F242" s="5">
        <v>31431</v>
      </c>
      <c r="G242" s="13">
        <f t="shared" si="23"/>
        <v>0.1993303019348947</v>
      </c>
      <c r="H242" s="5"/>
    </row>
    <row r="243" spans="2:8" ht="22.5" customHeight="1">
      <c r="B243" s="9">
        <v>98</v>
      </c>
      <c r="C243" s="5" t="s">
        <v>23</v>
      </c>
      <c r="D243" s="5" t="s">
        <v>8</v>
      </c>
      <c r="E243" s="5" t="s">
        <v>0</v>
      </c>
      <c r="F243" s="5">
        <v>10058</v>
      </c>
      <c r="G243" s="13">
        <f t="shared" si="23"/>
        <v>6.3786203966185326E-2</v>
      </c>
      <c r="H243" s="5"/>
    </row>
    <row r="244" spans="2:8" ht="22.5" customHeight="1">
      <c r="B244" s="9">
        <v>99</v>
      </c>
      <c r="C244" s="5" t="s">
        <v>23</v>
      </c>
      <c r="D244" s="5" t="s">
        <v>8</v>
      </c>
      <c r="E244" s="5" t="s">
        <v>0</v>
      </c>
      <c r="F244" s="5">
        <v>24624</v>
      </c>
      <c r="G244" s="13">
        <f t="shared" si="23"/>
        <v>0.15616141245410095</v>
      </c>
      <c r="H244" s="5"/>
    </row>
    <row r="245" spans="2:8" ht="22.5" customHeight="1">
      <c r="B245" s="10">
        <v>11</v>
      </c>
      <c r="C245" s="5" t="s">
        <v>22</v>
      </c>
      <c r="D245" s="5" t="s">
        <v>7</v>
      </c>
      <c r="E245" s="5" t="s">
        <v>1</v>
      </c>
      <c r="F245" s="5">
        <v>26054</v>
      </c>
      <c r="G245" s="13">
        <f t="shared" si="23"/>
        <v>0.16523024041906864</v>
      </c>
      <c r="H245" s="5"/>
    </row>
    <row r="246" spans="2:8" ht="22.5" customHeight="1">
      <c r="B246" s="10">
        <v>12</v>
      </c>
      <c r="C246" s="5" t="s">
        <v>22</v>
      </c>
      <c r="D246" s="5" t="s">
        <v>7</v>
      </c>
      <c r="E246" s="5" t="s">
        <v>1</v>
      </c>
      <c r="F246" s="5">
        <v>43044</v>
      </c>
      <c r="G246" s="13">
        <f t="shared" ref="G246:G277" si="24">F246/$W$2</f>
        <v>0.27297806358326515</v>
      </c>
      <c r="H246" s="5"/>
    </row>
    <row r="247" spans="2:8" ht="22.5" customHeight="1">
      <c r="B247" s="10">
        <v>13</v>
      </c>
      <c r="C247" s="5" t="s">
        <v>22</v>
      </c>
      <c r="D247" s="5" t="s">
        <v>7</v>
      </c>
      <c r="E247" s="5" t="s">
        <v>1</v>
      </c>
      <c r="F247" s="5">
        <v>21833</v>
      </c>
      <c r="G247" s="13">
        <f t="shared" si="24"/>
        <v>0.13846134332806961</v>
      </c>
      <c r="H247" s="5"/>
    </row>
    <row r="248" spans="2:8" ht="22.5" customHeight="1">
      <c r="B248" s="10">
        <v>14</v>
      </c>
      <c r="C248" s="5" t="s">
        <v>22</v>
      </c>
      <c r="D248" s="5" t="s">
        <v>7</v>
      </c>
      <c r="E248" s="5" t="s">
        <v>1</v>
      </c>
      <c r="F248" s="5">
        <v>15040</v>
      </c>
      <c r="G248" s="13">
        <f t="shared" si="24"/>
        <v>9.5381239575604224E-2</v>
      </c>
      <c r="H248" s="5"/>
    </row>
    <row r="249" spans="2:8" ht="22.5" customHeight="1">
      <c r="B249" s="10">
        <v>15</v>
      </c>
      <c r="C249" s="5" t="s">
        <v>22</v>
      </c>
      <c r="D249" s="5" t="s">
        <v>7</v>
      </c>
      <c r="E249" s="5" t="s">
        <v>1</v>
      </c>
      <c r="F249" s="5">
        <v>35430</v>
      </c>
      <c r="G249" s="13">
        <f t="shared" si="24"/>
        <v>0.22469131104811552</v>
      </c>
      <c r="H249" s="5"/>
    </row>
    <row r="250" spans="2:8" ht="22.5" customHeight="1">
      <c r="B250" s="10">
        <v>16</v>
      </c>
      <c r="C250" s="5" t="s">
        <v>22</v>
      </c>
      <c r="D250" s="5" t="s">
        <v>7</v>
      </c>
      <c r="E250" s="5" t="s">
        <v>1</v>
      </c>
      <c r="F250" s="5">
        <v>16196</v>
      </c>
      <c r="G250" s="13">
        <f t="shared" si="24"/>
        <v>0.10271240400043125</v>
      </c>
      <c r="H250" s="5"/>
    </row>
    <row r="251" spans="2:8" ht="22.5" customHeight="1">
      <c r="B251" s="10">
        <v>17</v>
      </c>
      <c r="C251" s="5" t="s">
        <v>22</v>
      </c>
      <c r="D251" s="5" t="s">
        <v>7</v>
      </c>
      <c r="E251" s="5" t="s">
        <v>1</v>
      </c>
      <c r="F251" s="5">
        <v>8563</v>
      </c>
      <c r="G251" s="13">
        <f t="shared" si="24"/>
        <v>5.4305156548264559E-2</v>
      </c>
      <c r="H251" s="5"/>
    </row>
    <row r="252" spans="2:8" ht="22.5" customHeight="1">
      <c r="B252" s="10">
        <v>18</v>
      </c>
      <c r="C252" s="5" t="s">
        <v>22</v>
      </c>
      <c r="D252" s="5" t="s">
        <v>7</v>
      </c>
      <c r="E252" s="5" t="s">
        <v>1</v>
      </c>
      <c r="F252" s="5">
        <v>21441</v>
      </c>
      <c r="G252" s="13">
        <f t="shared" si="24"/>
        <v>0.13597534293487568</v>
      </c>
      <c r="H252" s="5"/>
    </row>
    <row r="253" spans="2:8" ht="22.5" customHeight="1">
      <c r="B253" s="10">
        <v>19</v>
      </c>
      <c r="C253" s="5" t="s">
        <v>22</v>
      </c>
      <c r="D253" s="5" t="s">
        <v>7</v>
      </c>
      <c r="E253" s="5" t="s">
        <v>1</v>
      </c>
      <c r="F253" s="5">
        <v>20797</v>
      </c>
      <c r="G253" s="13">
        <f t="shared" si="24"/>
        <v>0.13189119943177133</v>
      </c>
      <c r="H253" s="5"/>
    </row>
    <row r="254" spans="2:8" ht="22.5" customHeight="1">
      <c r="B254" s="10">
        <v>21</v>
      </c>
      <c r="C254" s="5" t="s">
        <v>22</v>
      </c>
      <c r="D254" s="5" t="s">
        <v>7</v>
      </c>
      <c r="E254" s="5" t="s">
        <v>1</v>
      </c>
      <c r="F254" s="5">
        <v>23567</v>
      </c>
      <c r="G254" s="13">
        <f t="shared" si="24"/>
        <v>0.14945808996531015</v>
      </c>
      <c r="H254" s="5"/>
    </row>
    <row r="255" spans="2:8" ht="22.5" customHeight="1">
      <c r="B255" s="10">
        <v>22</v>
      </c>
      <c r="C255" s="5" t="s">
        <v>22</v>
      </c>
      <c r="D255" s="5" t="s">
        <v>7</v>
      </c>
      <c r="E255" s="5" t="s">
        <v>1</v>
      </c>
      <c r="F255" s="5">
        <v>13418</v>
      </c>
      <c r="G255" s="13">
        <f t="shared" si="24"/>
        <v>8.5094778764990525E-2</v>
      </c>
      <c r="H255" s="5"/>
    </row>
    <row r="256" spans="2:8" ht="22.5" customHeight="1">
      <c r="B256" s="10">
        <v>23</v>
      </c>
      <c r="C256" s="5" t="s">
        <v>22</v>
      </c>
      <c r="D256" s="5" t="s">
        <v>7</v>
      </c>
      <c r="E256" s="5" t="s">
        <v>1</v>
      </c>
      <c r="F256" s="5">
        <v>10754</v>
      </c>
      <c r="G256" s="13">
        <f t="shared" si="24"/>
        <v>6.8200123031652113E-2</v>
      </c>
      <c r="H256" s="5"/>
    </row>
    <row r="257" spans="2:8" ht="22.5" customHeight="1">
      <c r="B257" s="10">
        <v>24</v>
      </c>
      <c r="C257" s="5" t="s">
        <v>22</v>
      </c>
      <c r="D257" s="5" t="s">
        <v>7</v>
      </c>
      <c r="E257" s="5" t="s">
        <v>1</v>
      </c>
      <c r="F257" s="5">
        <v>12087</v>
      </c>
      <c r="G257" s="13">
        <f t="shared" si="24"/>
        <v>7.6653792736059059E-2</v>
      </c>
      <c r="H257" s="5"/>
    </row>
    <row r="258" spans="2:8" ht="22.5" customHeight="1">
      <c r="B258" s="10">
        <v>25</v>
      </c>
      <c r="C258" s="5" t="s">
        <v>22</v>
      </c>
      <c r="D258" s="5" t="s">
        <v>7</v>
      </c>
      <c r="E258" s="5" t="s">
        <v>1</v>
      </c>
      <c r="F258" s="5">
        <v>10842</v>
      </c>
      <c r="G258" s="13">
        <f t="shared" si="24"/>
        <v>6.8758204752573202E-2</v>
      </c>
      <c r="H258" s="5"/>
    </row>
    <row r="259" spans="2:8" ht="22.5" customHeight="1">
      <c r="B259" s="10">
        <v>26</v>
      </c>
      <c r="C259" s="5" t="s">
        <v>22</v>
      </c>
      <c r="D259" s="5" t="s">
        <v>7</v>
      </c>
      <c r="E259" s="5" t="s">
        <v>1</v>
      </c>
      <c r="F259" s="5">
        <v>11636</v>
      </c>
      <c r="G259" s="13">
        <f t="shared" si="24"/>
        <v>7.379362391633848E-2</v>
      </c>
      <c r="H259" s="5"/>
    </row>
    <row r="260" spans="2:8" ht="22.5" customHeight="1">
      <c r="B260" s="10">
        <v>27</v>
      </c>
      <c r="C260" s="5" t="s">
        <v>22</v>
      </c>
      <c r="D260" s="5" t="s">
        <v>7</v>
      </c>
      <c r="E260" s="5" t="s">
        <v>1</v>
      </c>
      <c r="F260" s="5">
        <v>15051</v>
      </c>
      <c r="G260" s="13">
        <f t="shared" si="24"/>
        <v>9.545099979071936E-2</v>
      </c>
      <c r="H260" s="5"/>
    </row>
    <row r="261" spans="2:8" ht="22.5" customHeight="1">
      <c r="B261" s="10">
        <v>28</v>
      </c>
      <c r="C261" s="5" t="s">
        <v>22</v>
      </c>
      <c r="D261" s="5" t="s">
        <v>7</v>
      </c>
      <c r="E261" s="5" t="s">
        <v>1</v>
      </c>
      <c r="F261" s="5">
        <v>19304</v>
      </c>
      <c r="G261" s="13">
        <f t="shared" si="24"/>
        <v>0.12242283568932605</v>
      </c>
      <c r="H261" s="5"/>
    </row>
    <row r="262" spans="2:8" ht="22.5" customHeight="1">
      <c r="B262" s="10">
        <v>29</v>
      </c>
      <c r="C262" s="5" t="s">
        <v>22</v>
      </c>
      <c r="D262" s="5" t="s">
        <v>7</v>
      </c>
      <c r="E262" s="5" t="s">
        <v>1</v>
      </c>
      <c r="F262" s="5">
        <v>45959</v>
      </c>
      <c r="G262" s="13">
        <f t="shared" si="24"/>
        <v>0.2914645205887762</v>
      </c>
      <c r="H262" s="5"/>
    </row>
    <row r="263" spans="2:8" ht="22.5" customHeight="1">
      <c r="B263" s="10">
        <v>31</v>
      </c>
      <c r="C263" s="5" t="s">
        <v>22</v>
      </c>
      <c r="D263" s="5" t="s">
        <v>7</v>
      </c>
      <c r="E263" s="5" t="s">
        <v>1</v>
      </c>
      <c r="F263" s="5">
        <v>8108</v>
      </c>
      <c r="G263" s="13">
        <f t="shared" si="24"/>
        <v>5.1419620377593019E-2</v>
      </c>
      <c r="H263" s="5"/>
    </row>
    <row r="264" spans="2:8" ht="22.5" customHeight="1">
      <c r="B264" s="10">
        <v>32</v>
      </c>
      <c r="C264" s="5" t="s">
        <v>22</v>
      </c>
      <c r="D264" s="5" t="s">
        <v>7</v>
      </c>
      <c r="E264" s="5" t="s">
        <v>1</v>
      </c>
      <c r="F264" s="5">
        <v>10569</v>
      </c>
      <c r="G264" s="13">
        <f t="shared" si="24"/>
        <v>6.702688305017028E-2</v>
      </c>
      <c r="H264" s="5"/>
    </row>
    <row r="265" spans="2:8" ht="22.5" customHeight="1">
      <c r="B265" s="10">
        <v>33</v>
      </c>
      <c r="C265" s="5" t="s">
        <v>22</v>
      </c>
      <c r="D265" s="5" t="s">
        <v>7</v>
      </c>
      <c r="E265" s="5" t="s">
        <v>1</v>
      </c>
      <c r="F265" s="5">
        <v>36531</v>
      </c>
      <c r="G265" s="13">
        <f t="shared" si="24"/>
        <v>0.23167367439736686</v>
      </c>
      <c r="H265" s="5"/>
    </row>
    <row r="266" spans="2:8" ht="22.5" customHeight="1">
      <c r="B266" s="10">
        <v>34</v>
      </c>
      <c r="C266" s="5" t="s">
        <v>22</v>
      </c>
      <c r="D266" s="5" t="s">
        <v>7</v>
      </c>
      <c r="E266" s="5" t="s">
        <v>1</v>
      </c>
      <c r="F266" s="5">
        <v>14465</v>
      </c>
      <c r="G266" s="13">
        <f t="shared" si="24"/>
        <v>9.173468287640392E-2</v>
      </c>
      <c r="H266" s="5"/>
    </row>
    <row r="267" spans="2:8" ht="22.5" customHeight="1">
      <c r="B267" s="10">
        <v>35</v>
      </c>
      <c r="C267" s="5" t="s">
        <v>22</v>
      </c>
      <c r="D267" s="5" t="s">
        <v>7</v>
      </c>
      <c r="E267" s="5" t="s">
        <v>1</v>
      </c>
      <c r="F267" s="5">
        <v>12086</v>
      </c>
      <c r="G267" s="13">
        <f t="shared" si="24"/>
        <v>7.6647450898321312E-2</v>
      </c>
      <c r="H267" s="5"/>
    </row>
    <row r="268" spans="2:8" ht="22.5" customHeight="1">
      <c r="B268" s="10">
        <v>36</v>
      </c>
      <c r="C268" s="5" t="s">
        <v>22</v>
      </c>
      <c r="D268" s="5" t="s">
        <v>7</v>
      </c>
      <c r="E268" s="5" t="s">
        <v>1</v>
      </c>
      <c r="F268" s="5">
        <v>16026</v>
      </c>
      <c r="G268" s="13">
        <f t="shared" si="24"/>
        <v>0.10163429158501551</v>
      </c>
      <c r="H268" s="5"/>
    </row>
    <row r="269" spans="2:8" ht="22.5" customHeight="1">
      <c r="B269" s="10">
        <v>37</v>
      </c>
      <c r="C269" s="5" t="s">
        <v>22</v>
      </c>
      <c r="D269" s="5" t="s">
        <v>7</v>
      </c>
      <c r="E269" s="5" t="s">
        <v>1</v>
      </c>
      <c r="F269" s="5">
        <v>47094</v>
      </c>
      <c r="G269" s="13">
        <f t="shared" si="24"/>
        <v>0.2986625064211107</v>
      </c>
      <c r="H269" s="5"/>
    </row>
    <row r="270" spans="2:8" ht="22.5" customHeight="1">
      <c r="B270" s="10">
        <v>38</v>
      </c>
      <c r="C270" s="5" t="s">
        <v>22</v>
      </c>
      <c r="D270" s="5" t="s">
        <v>7</v>
      </c>
      <c r="E270" s="5" t="s">
        <v>1</v>
      </c>
      <c r="F270" s="5">
        <v>5254</v>
      </c>
      <c r="G270" s="13">
        <f t="shared" si="24"/>
        <v>3.3320015474084079E-2</v>
      </c>
      <c r="H270" s="5"/>
    </row>
    <row r="271" spans="2:8" ht="22.5" customHeight="1">
      <c r="B271" s="10">
        <v>39</v>
      </c>
      <c r="C271" s="5" t="s">
        <v>22</v>
      </c>
      <c r="D271" s="5" t="s">
        <v>7</v>
      </c>
      <c r="E271" s="5" t="s">
        <v>1</v>
      </c>
      <c r="F271" s="5">
        <v>13392</v>
      </c>
      <c r="G271" s="13">
        <f t="shared" si="24"/>
        <v>8.4929890983809292E-2</v>
      </c>
      <c r="H271" s="5"/>
    </row>
    <row r="272" spans="2:8" ht="22.5" customHeight="1">
      <c r="B272" s="10">
        <v>41</v>
      </c>
      <c r="C272" s="5" t="s">
        <v>22</v>
      </c>
      <c r="D272" s="5" t="s">
        <v>8</v>
      </c>
      <c r="E272" s="5" t="s">
        <v>1</v>
      </c>
      <c r="F272" s="5">
        <v>14563</v>
      </c>
      <c r="G272" s="13">
        <f t="shared" si="24"/>
        <v>9.2356182974702411E-2</v>
      </c>
      <c r="H272" s="5"/>
    </row>
    <row r="273" spans="2:8" ht="22.5" customHeight="1">
      <c r="B273" s="10">
        <v>42</v>
      </c>
      <c r="C273" s="5" t="s">
        <v>22</v>
      </c>
      <c r="D273" s="5" t="s">
        <v>8</v>
      </c>
      <c r="E273" s="5" t="s">
        <v>1</v>
      </c>
      <c r="F273" s="5">
        <v>20663</v>
      </c>
      <c r="G273" s="13">
        <f t="shared" si="24"/>
        <v>0.13104139317491423</v>
      </c>
      <c r="H273" s="5"/>
    </row>
    <row r="274" spans="2:8" ht="22.5" customHeight="1">
      <c r="B274" s="10">
        <v>43</v>
      </c>
      <c r="C274" s="5" t="s">
        <v>22</v>
      </c>
      <c r="D274" s="5" t="s">
        <v>8</v>
      </c>
      <c r="E274" s="5" t="s">
        <v>1</v>
      </c>
      <c r="F274" s="5">
        <v>13423</v>
      </c>
      <c r="G274" s="13">
        <f t="shared" si="24"/>
        <v>8.512648795367922E-2</v>
      </c>
      <c r="H274" s="5"/>
    </row>
    <row r="275" spans="2:8" ht="22.5" customHeight="1">
      <c r="B275" s="10">
        <v>44</v>
      </c>
      <c r="C275" s="5" t="s">
        <v>22</v>
      </c>
      <c r="D275" s="5" t="s">
        <v>8</v>
      </c>
      <c r="E275" s="5" t="s">
        <v>1</v>
      </c>
      <c r="F275" s="5">
        <v>7607</v>
      </c>
      <c r="G275" s="13">
        <f t="shared" si="24"/>
        <v>4.824235967098546E-2</v>
      </c>
      <c r="H275" s="5"/>
    </row>
    <row r="276" spans="2:8" ht="22.5" customHeight="1">
      <c r="B276" s="10">
        <v>45</v>
      </c>
      <c r="C276" s="5" t="s">
        <v>22</v>
      </c>
      <c r="D276" s="5" t="s">
        <v>8</v>
      </c>
      <c r="E276" s="5" t="s">
        <v>1</v>
      </c>
      <c r="F276" s="5">
        <v>11305</v>
      </c>
      <c r="G276" s="13">
        <f t="shared" si="24"/>
        <v>7.169447562514665E-2</v>
      </c>
      <c r="H276" s="5"/>
    </row>
    <row r="277" spans="2:8" ht="22.5" customHeight="1">
      <c r="B277" s="10">
        <v>46</v>
      </c>
      <c r="C277" s="5" t="s">
        <v>22</v>
      </c>
      <c r="D277" s="5" t="s">
        <v>8</v>
      </c>
      <c r="E277" s="5" t="s">
        <v>1</v>
      </c>
      <c r="F277" s="5">
        <v>31426</v>
      </c>
      <c r="G277" s="13">
        <f t="shared" si="24"/>
        <v>0.19929859274620598</v>
      </c>
      <c r="H277" s="5"/>
    </row>
    <row r="278" spans="2:8" ht="22.5" customHeight="1">
      <c r="B278" s="10">
        <v>47</v>
      </c>
      <c r="C278" s="5" t="s">
        <v>22</v>
      </c>
      <c r="D278" s="5" t="s">
        <v>8</v>
      </c>
      <c r="E278" s="5" t="s">
        <v>1</v>
      </c>
      <c r="F278" s="5">
        <v>28781</v>
      </c>
      <c r="G278" s="13">
        <f t="shared" ref="G278:G309" si="25">F278/$W$2</f>
        <v>0.18252443192988463</v>
      </c>
      <c r="H278" s="5"/>
    </row>
    <row r="279" spans="2:8" ht="22.5" customHeight="1">
      <c r="B279" s="10">
        <v>48</v>
      </c>
      <c r="C279" s="5" t="s">
        <v>22</v>
      </c>
      <c r="D279" s="5" t="s">
        <v>8</v>
      </c>
      <c r="E279" s="5" t="s">
        <v>1</v>
      </c>
      <c r="F279" s="5">
        <v>12922</v>
      </c>
      <c r="G279" s="13">
        <f t="shared" si="25"/>
        <v>8.1949227247071654E-2</v>
      </c>
      <c r="H279" s="5"/>
    </row>
    <row r="280" spans="2:8" ht="22.5" customHeight="1">
      <c r="B280" s="10">
        <v>49</v>
      </c>
      <c r="C280" s="5" t="s">
        <v>22</v>
      </c>
      <c r="D280" s="5" t="s">
        <v>8</v>
      </c>
      <c r="E280" s="5" t="s">
        <v>1</v>
      </c>
      <c r="F280" s="5">
        <v>14385</v>
      </c>
      <c r="G280" s="13">
        <f t="shared" si="25"/>
        <v>9.1227335857384753E-2</v>
      </c>
      <c r="H280" s="5"/>
    </row>
    <row r="281" spans="2:8" ht="22.5" customHeight="1">
      <c r="B281" s="10">
        <v>51</v>
      </c>
      <c r="C281" s="5" t="s">
        <v>22</v>
      </c>
      <c r="D281" s="5" t="s">
        <v>8</v>
      </c>
      <c r="E281" s="5" t="s">
        <v>1</v>
      </c>
      <c r="F281" s="5">
        <v>8570</v>
      </c>
      <c r="G281" s="13">
        <f t="shared" si="25"/>
        <v>5.4349549412428734E-2</v>
      </c>
      <c r="H281" s="5"/>
    </row>
    <row r="282" spans="2:8" ht="22.5" customHeight="1">
      <c r="B282" s="10">
        <v>52</v>
      </c>
      <c r="C282" s="5" t="s">
        <v>22</v>
      </c>
      <c r="D282" s="5" t="s">
        <v>8</v>
      </c>
      <c r="E282" s="5" t="s">
        <v>1</v>
      </c>
      <c r="F282" s="5">
        <v>10076</v>
      </c>
      <c r="G282" s="13">
        <f t="shared" si="25"/>
        <v>6.3900357045464637E-2</v>
      </c>
      <c r="H282" s="5"/>
    </row>
    <row r="283" spans="2:8" ht="22.5" customHeight="1">
      <c r="B283" s="10">
        <v>53</v>
      </c>
      <c r="C283" s="5" t="s">
        <v>22</v>
      </c>
      <c r="D283" s="5" t="s">
        <v>8</v>
      </c>
      <c r="E283" s="5" t="s">
        <v>1</v>
      </c>
      <c r="F283" s="5">
        <v>28276</v>
      </c>
      <c r="G283" s="13">
        <f t="shared" si="25"/>
        <v>0.17932180387232613</v>
      </c>
      <c r="H283" s="5"/>
    </row>
    <row r="284" spans="2:8" ht="22.5" customHeight="1">
      <c r="B284" s="10">
        <v>54</v>
      </c>
      <c r="C284" s="5" t="s">
        <v>22</v>
      </c>
      <c r="D284" s="5" t="s">
        <v>8</v>
      </c>
      <c r="E284" s="5" t="s">
        <v>1</v>
      </c>
      <c r="F284" s="5">
        <v>15422</v>
      </c>
      <c r="G284" s="13">
        <f t="shared" si="25"/>
        <v>9.7803821591420759E-2</v>
      </c>
      <c r="H284" s="5"/>
    </row>
    <row r="285" spans="2:8" ht="22.5" customHeight="1">
      <c r="B285" s="10">
        <v>55</v>
      </c>
      <c r="C285" s="5" t="s">
        <v>22</v>
      </c>
      <c r="D285" s="5" t="s">
        <v>8</v>
      </c>
      <c r="E285" s="5" t="s">
        <v>1</v>
      </c>
      <c r="F285" s="5">
        <v>19083</v>
      </c>
      <c r="G285" s="13">
        <f t="shared" si="25"/>
        <v>0.12102128954928559</v>
      </c>
      <c r="H285" s="5"/>
    </row>
    <row r="286" spans="2:8" ht="22.5" customHeight="1">
      <c r="B286" s="10">
        <v>56</v>
      </c>
      <c r="C286" s="5" t="s">
        <v>22</v>
      </c>
      <c r="D286" s="5" t="s">
        <v>8</v>
      </c>
      <c r="E286" s="5" t="s">
        <v>1</v>
      </c>
      <c r="F286" s="5">
        <v>13736</v>
      </c>
      <c r="G286" s="13">
        <f t="shared" si="25"/>
        <v>8.7111483165591724E-2</v>
      </c>
      <c r="H286" s="5"/>
    </row>
    <row r="287" spans="2:8" ht="22.5" customHeight="1">
      <c r="B287" s="10">
        <v>57</v>
      </c>
      <c r="C287" s="5" t="s">
        <v>22</v>
      </c>
      <c r="D287" s="5" t="s">
        <v>8</v>
      </c>
      <c r="E287" s="5" t="s">
        <v>1</v>
      </c>
      <c r="F287" s="5">
        <v>22515</v>
      </c>
      <c r="G287" s="13">
        <f t="shared" si="25"/>
        <v>0.14278647666520805</v>
      </c>
      <c r="H287" s="5"/>
    </row>
    <row r="288" spans="2:8" ht="22.5" customHeight="1">
      <c r="B288" s="10">
        <v>58</v>
      </c>
      <c r="C288" s="5" t="s">
        <v>22</v>
      </c>
      <c r="D288" s="5" t="s">
        <v>8</v>
      </c>
      <c r="E288" s="5" t="s">
        <v>1</v>
      </c>
      <c r="F288" s="5">
        <v>25507</v>
      </c>
      <c r="G288" s="13">
        <f t="shared" si="25"/>
        <v>0.16176125517652507</v>
      </c>
      <c r="H288" s="5"/>
    </row>
    <row r="289" spans="2:8" ht="22.5" customHeight="1">
      <c r="B289" s="10">
        <v>59</v>
      </c>
      <c r="C289" s="5" t="s">
        <v>22</v>
      </c>
      <c r="D289" s="5" t="s">
        <v>8</v>
      </c>
      <c r="E289" s="5" t="s">
        <v>1</v>
      </c>
      <c r="F289" s="5">
        <v>22110</v>
      </c>
      <c r="G289" s="13">
        <f t="shared" si="25"/>
        <v>0.1402180323814235</v>
      </c>
      <c r="H289" s="5"/>
    </row>
    <row r="290" spans="2:8" ht="22.5" customHeight="1">
      <c r="B290" s="10">
        <v>61</v>
      </c>
      <c r="C290" s="5" t="s">
        <v>22</v>
      </c>
      <c r="D290" s="5" t="s">
        <v>8</v>
      </c>
      <c r="E290" s="5" t="s">
        <v>1</v>
      </c>
      <c r="F290" s="5">
        <v>10006</v>
      </c>
      <c r="G290" s="13">
        <f t="shared" si="25"/>
        <v>6.3456428403822859E-2</v>
      </c>
      <c r="H290" s="5"/>
    </row>
    <row r="291" spans="2:8" ht="22.5" customHeight="1">
      <c r="B291" s="10">
        <v>62</v>
      </c>
      <c r="C291" s="5" t="s">
        <v>22</v>
      </c>
      <c r="D291" s="5" t="s">
        <v>8</v>
      </c>
      <c r="E291" s="5" t="s">
        <v>1</v>
      </c>
      <c r="F291" s="5">
        <v>19226</v>
      </c>
      <c r="G291" s="13">
        <f t="shared" si="25"/>
        <v>0.12192817234578236</v>
      </c>
      <c r="H291" s="5"/>
    </row>
    <row r="292" spans="2:8" ht="22.5" customHeight="1">
      <c r="B292" s="10">
        <v>63</v>
      </c>
      <c r="C292" s="5" t="s">
        <v>22</v>
      </c>
      <c r="D292" s="5" t="s">
        <v>8</v>
      </c>
      <c r="E292" s="5" t="s">
        <v>1</v>
      </c>
      <c r="F292" s="5">
        <v>33755</v>
      </c>
      <c r="G292" s="13">
        <f t="shared" si="25"/>
        <v>0.21406873283740163</v>
      </c>
      <c r="H292" s="5"/>
    </row>
    <row r="293" spans="2:8" ht="22.5" customHeight="1">
      <c r="B293" s="10">
        <v>64</v>
      </c>
      <c r="C293" s="5" t="s">
        <v>22</v>
      </c>
      <c r="D293" s="5" t="s">
        <v>8</v>
      </c>
      <c r="E293" s="5" t="s">
        <v>1</v>
      </c>
      <c r="F293" s="5">
        <v>11781</v>
      </c>
      <c r="G293" s="13">
        <f t="shared" si="25"/>
        <v>7.471319038831073E-2</v>
      </c>
      <c r="H293" s="5"/>
    </row>
    <row r="294" spans="2:8" ht="22.5" customHeight="1">
      <c r="B294" s="10">
        <v>65</v>
      </c>
      <c r="C294" s="5" t="s">
        <v>22</v>
      </c>
      <c r="D294" s="5" t="s">
        <v>8</v>
      </c>
      <c r="E294" s="5" t="s">
        <v>1</v>
      </c>
      <c r="F294" s="5">
        <v>21466</v>
      </c>
      <c r="G294" s="13">
        <f t="shared" si="25"/>
        <v>0.13613388887831915</v>
      </c>
      <c r="H294" s="5"/>
    </row>
    <row r="295" spans="2:8" ht="22.5" customHeight="1">
      <c r="B295" s="10">
        <v>66</v>
      </c>
      <c r="C295" s="5" t="s">
        <v>22</v>
      </c>
      <c r="D295" s="5" t="s">
        <v>8</v>
      </c>
      <c r="E295" s="5" t="s">
        <v>1</v>
      </c>
      <c r="F295" s="5">
        <v>20297</v>
      </c>
      <c r="G295" s="13">
        <f t="shared" si="25"/>
        <v>0.12872028056290152</v>
      </c>
      <c r="H295" s="5"/>
    </row>
    <row r="296" spans="2:8" ht="22.5" customHeight="1">
      <c r="B296" s="10">
        <v>67</v>
      </c>
      <c r="C296" s="5" t="s">
        <v>22</v>
      </c>
      <c r="D296" s="5" t="s">
        <v>8</v>
      </c>
      <c r="E296" s="5" t="s">
        <v>1</v>
      </c>
      <c r="F296" s="5">
        <v>28900</v>
      </c>
      <c r="G296" s="13">
        <f t="shared" si="25"/>
        <v>0.18327911062067567</v>
      </c>
      <c r="H296" s="5"/>
    </row>
    <row r="297" spans="2:8" ht="22.5" customHeight="1">
      <c r="B297" s="10">
        <v>68</v>
      </c>
      <c r="C297" s="5" t="s">
        <v>22</v>
      </c>
      <c r="D297" s="5" t="s">
        <v>8</v>
      </c>
      <c r="E297" s="5" t="s">
        <v>1</v>
      </c>
      <c r="F297" s="5">
        <v>20414</v>
      </c>
      <c r="G297" s="13">
        <f t="shared" si="25"/>
        <v>0.12946227557821705</v>
      </c>
      <c r="H297" s="5"/>
    </row>
    <row r="298" spans="2:8" ht="22.5" customHeight="1">
      <c r="B298" s="10">
        <v>69</v>
      </c>
      <c r="C298" s="5" t="s">
        <v>22</v>
      </c>
      <c r="D298" s="5" t="s">
        <v>8</v>
      </c>
      <c r="E298" s="5" t="s">
        <v>1</v>
      </c>
      <c r="F298" s="5">
        <v>28874</v>
      </c>
      <c r="G298" s="13">
        <f t="shared" si="25"/>
        <v>0.18311422283949444</v>
      </c>
      <c r="H298" s="5"/>
    </row>
    <row r="299" spans="2:8" ht="22.5" customHeight="1">
      <c r="B299" s="10">
        <v>71</v>
      </c>
      <c r="C299" s="5" t="s">
        <v>22</v>
      </c>
      <c r="D299" s="5" t="s">
        <v>7</v>
      </c>
      <c r="E299" s="5" t="s">
        <v>1</v>
      </c>
      <c r="F299" s="5">
        <v>45861</v>
      </c>
      <c r="G299" s="13">
        <f t="shared" si="25"/>
        <v>0.29084302049047772</v>
      </c>
      <c r="H299" s="5"/>
    </row>
    <row r="300" spans="2:8" ht="22.5" customHeight="1">
      <c r="B300" s="10">
        <v>72</v>
      </c>
      <c r="C300" s="5" t="s">
        <v>22</v>
      </c>
      <c r="D300" s="5" t="s">
        <v>7</v>
      </c>
      <c r="E300" s="5" t="s">
        <v>1</v>
      </c>
      <c r="F300" s="5">
        <v>23723</v>
      </c>
      <c r="G300" s="13">
        <f t="shared" si="25"/>
        <v>0.15044741665239753</v>
      </c>
      <c r="H300" s="5"/>
    </row>
    <row r="301" spans="2:8" ht="22.5" customHeight="1">
      <c r="B301" s="10">
        <v>73</v>
      </c>
      <c r="C301" s="5" t="s">
        <v>22</v>
      </c>
      <c r="D301" s="5" t="s">
        <v>7</v>
      </c>
      <c r="E301" s="5" t="s">
        <v>1</v>
      </c>
      <c r="F301" s="5">
        <v>18200</v>
      </c>
      <c r="G301" s="13">
        <f t="shared" si="25"/>
        <v>0.11542144682686149</v>
      </c>
      <c r="H301" s="5"/>
    </row>
    <row r="302" spans="2:8" ht="22.5" customHeight="1">
      <c r="B302" s="10">
        <v>74</v>
      </c>
      <c r="C302" s="5" t="s">
        <v>19</v>
      </c>
      <c r="D302" s="5" t="s">
        <v>8</v>
      </c>
      <c r="E302" s="5" t="s">
        <v>1</v>
      </c>
      <c r="F302" s="5">
        <v>28106</v>
      </c>
      <c r="G302" s="13">
        <f t="shared" si="25"/>
        <v>0.17824369145691038</v>
      </c>
      <c r="H302" s="5"/>
    </row>
    <row r="303" spans="2:8" ht="22.5" customHeight="1">
      <c r="B303" s="10">
        <v>75</v>
      </c>
      <c r="C303" s="5" t="s">
        <v>19</v>
      </c>
      <c r="D303" s="5" t="s">
        <v>8</v>
      </c>
      <c r="E303" s="5" t="s">
        <v>1</v>
      </c>
      <c r="F303" s="5">
        <v>19494</v>
      </c>
      <c r="G303" s="13">
        <f t="shared" si="25"/>
        <v>0.12362778485949659</v>
      </c>
      <c r="H303" s="5"/>
    </row>
    <row r="304" spans="2:8" ht="22.5" customHeight="1">
      <c r="B304" s="10">
        <v>76</v>
      </c>
      <c r="C304" s="5" t="s">
        <v>19</v>
      </c>
      <c r="D304" s="5" t="s">
        <v>8</v>
      </c>
      <c r="E304" s="5" t="s">
        <v>1</v>
      </c>
      <c r="F304" s="5">
        <v>7453</v>
      </c>
      <c r="G304" s="13">
        <f t="shared" si="25"/>
        <v>4.7265716659373555E-2</v>
      </c>
      <c r="H304" s="5"/>
    </row>
    <row r="305" spans="2:8" ht="22.5" customHeight="1">
      <c r="B305" s="10">
        <v>77</v>
      </c>
      <c r="C305" s="5" t="s">
        <v>19</v>
      </c>
      <c r="D305" s="5" t="s">
        <v>8</v>
      </c>
      <c r="E305" s="5" t="s">
        <v>1</v>
      </c>
      <c r="F305" s="5">
        <v>35245</v>
      </c>
      <c r="G305" s="13">
        <f t="shared" si="25"/>
        <v>0.22351807106663368</v>
      </c>
      <c r="H305" s="5"/>
    </row>
    <row r="306" spans="2:8" ht="22.5" customHeight="1">
      <c r="B306" s="10">
        <v>78</v>
      </c>
      <c r="C306" s="5" t="s">
        <v>19</v>
      </c>
      <c r="D306" s="5" t="s">
        <v>8</v>
      </c>
      <c r="E306" s="5" t="s">
        <v>1</v>
      </c>
      <c r="F306" s="5">
        <v>12022</v>
      </c>
      <c r="G306" s="13">
        <f t="shared" si="25"/>
        <v>7.6241573283105976E-2</v>
      </c>
      <c r="H306" s="5"/>
    </row>
    <row r="307" spans="2:8" ht="22.5" customHeight="1">
      <c r="B307" s="10">
        <v>79</v>
      </c>
      <c r="C307" s="5" t="s">
        <v>19</v>
      </c>
      <c r="D307" s="5" t="s">
        <v>8</v>
      </c>
      <c r="E307" s="5" t="s">
        <v>1</v>
      </c>
      <c r="F307" s="5">
        <v>26366</v>
      </c>
      <c r="G307" s="13">
        <f t="shared" si="25"/>
        <v>0.16720889379324341</v>
      </c>
      <c r="H307" s="5"/>
    </row>
    <row r="308" spans="2:8" ht="22.5" customHeight="1">
      <c r="B308" s="10">
        <v>81</v>
      </c>
      <c r="C308" s="5" t="s">
        <v>22</v>
      </c>
      <c r="D308" s="5" t="s">
        <v>7</v>
      </c>
      <c r="E308" s="5" t="s">
        <v>1</v>
      </c>
      <c r="F308" s="5">
        <v>14659</v>
      </c>
      <c r="G308" s="13">
        <f t="shared" si="25"/>
        <v>9.2964999397525422E-2</v>
      </c>
      <c r="H308" s="5"/>
    </row>
    <row r="309" spans="2:8" ht="22.5" customHeight="1">
      <c r="B309" s="10">
        <v>82</v>
      </c>
      <c r="C309" s="5" t="s">
        <v>22</v>
      </c>
      <c r="D309" s="5" t="s">
        <v>7</v>
      </c>
      <c r="E309" s="5" t="s">
        <v>1</v>
      </c>
      <c r="F309" s="5">
        <v>17442</v>
      </c>
      <c r="G309" s="13">
        <f t="shared" si="25"/>
        <v>0.11061433382165484</v>
      </c>
      <c r="H309" s="5"/>
    </row>
    <row r="310" spans="2:8" ht="22.5" customHeight="1">
      <c r="B310" s="10">
        <v>83</v>
      </c>
      <c r="C310" s="5" t="s">
        <v>22</v>
      </c>
      <c r="D310" s="5" t="s">
        <v>7</v>
      </c>
      <c r="E310" s="5" t="s">
        <v>1</v>
      </c>
      <c r="F310" s="5">
        <v>23191</v>
      </c>
      <c r="G310" s="13">
        <f t="shared" ref="G310" si="26">F310/$W$2</f>
        <v>0.14707355897592003</v>
      </c>
      <c r="H310" s="5"/>
    </row>
    <row r="311" spans="2:8" ht="22.5" customHeight="1">
      <c r="B311" s="10">
        <v>84</v>
      </c>
      <c r="C311" s="5"/>
      <c r="D311" s="5"/>
      <c r="E311" s="5"/>
      <c r="F311" s="5"/>
      <c r="G311" s="13"/>
      <c r="H311" s="5"/>
    </row>
    <row r="312" spans="2:8" ht="22.5" customHeight="1">
      <c r="B312" s="10">
        <v>85</v>
      </c>
      <c r="C312" s="5" t="s">
        <v>19</v>
      </c>
      <c r="D312" s="5" t="s">
        <v>8</v>
      </c>
      <c r="E312" s="5" t="s">
        <v>1</v>
      </c>
      <c r="F312" s="5">
        <v>18416</v>
      </c>
      <c r="G312" s="13">
        <f t="shared" ref="G312:G320" si="27">F312/$W$2</f>
        <v>0.11679128377821325</v>
      </c>
      <c r="H312" s="5"/>
    </row>
    <row r="313" spans="2:8" ht="22.5" customHeight="1">
      <c r="B313" s="10">
        <v>86</v>
      </c>
      <c r="C313" s="5" t="s">
        <v>19</v>
      </c>
      <c r="D313" s="5" t="s">
        <v>8</v>
      </c>
      <c r="E313" s="5" t="s">
        <v>1</v>
      </c>
      <c r="F313" s="5">
        <v>13899</v>
      </c>
      <c r="G313" s="13">
        <f t="shared" si="27"/>
        <v>8.8145202716843285E-2</v>
      </c>
      <c r="H313" s="5"/>
    </row>
    <row r="314" spans="2:8" ht="22.5" customHeight="1">
      <c r="B314" s="10">
        <v>87</v>
      </c>
      <c r="C314" s="5" t="s">
        <v>19</v>
      </c>
      <c r="D314" s="5" t="s">
        <v>8</v>
      </c>
      <c r="E314" s="5" t="s">
        <v>1</v>
      </c>
      <c r="F314" s="5">
        <v>26991</v>
      </c>
      <c r="G314" s="13">
        <f t="shared" si="27"/>
        <v>0.17117254237933069</v>
      </c>
      <c r="H314" s="5"/>
    </row>
    <row r="315" spans="2:8" ht="22.5" customHeight="1">
      <c r="B315" s="10">
        <v>88</v>
      </c>
      <c r="C315" s="5" t="s">
        <v>19</v>
      </c>
      <c r="D315" s="5" t="s">
        <v>8</v>
      </c>
      <c r="E315" s="5" t="s">
        <v>1</v>
      </c>
      <c r="F315" s="5">
        <v>28850</v>
      </c>
      <c r="G315" s="13">
        <f t="shared" si="27"/>
        <v>0.18296201873378867</v>
      </c>
      <c r="H315" s="5"/>
    </row>
    <row r="316" spans="2:8" ht="22.5" customHeight="1">
      <c r="B316" s="10">
        <v>89</v>
      </c>
      <c r="C316" s="5" t="s">
        <v>19</v>
      </c>
      <c r="D316" s="5" t="s">
        <v>8</v>
      </c>
      <c r="E316" s="5" t="s">
        <v>1</v>
      </c>
      <c r="F316" s="5">
        <v>41667</v>
      </c>
      <c r="G316" s="13">
        <f t="shared" si="27"/>
        <v>0.26424535301839769</v>
      </c>
      <c r="H316" s="5"/>
    </row>
    <row r="317" spans="2:8" ht="22.5" customHeight="1">
      <c r="B317" s="10">
        <v>91</v>
      </c>
      <c r="C317" s="5" t="s">
        <v>22</v>
      </c>
      <c r="D317" s="5" t="s">
        <v>7</v>
      </c>
      <c r="E317" s="5" t="s">
        <v>1</v>
      </c>
      <c r="F317" s="5">
        <v>16478</v>
      </c>
      <c r="G317" s="13">
        <f t="shared" si="27"/>
        <v>0.10450080224247382</v>
      </c>
      <c r="H317" s="5"/>
    </row>
    <row r="318" spans="2:8" ht="22.5" customHeight="1">
      <c r="B318" s="10">
        <v>92</v>
      </c>
      <c r="C318" s="5" t="s">
        <v>22</v>
      </c>
      <c r="D318" s="5" t="s">
        <v>7</v>
      </c>
      <c r="E318" s="5" t="s">
        <v>1</v>
      </c>
      <c r="F318" s="5">
        <v>11425</v>
      </c>
      <c r="G318" s="13">
        <f t="shared" si="27"/>
        <v>7.2455496153675414E-2</v>
      </c>
      <c r="H318" s="5"/>
    </row>
    <row r="319" spans="2:8" ht="22.5" customHeight="1">
      <c r="B319" s="10">
        <v>93</v>
      </c>
      <c r="C319" s="5" t="s">
        <v>22</v>
      </c>
      <c r="D319" s="5" t="s">
        <v>7</v>
      </c>
      <c r="E319" s="5" t="s">
        <v>1</v>
      </c>
      <c r="F319" s="5">
        <v>16195</v>
      </c>
      <c r="G319" s="13">
        <f t="shared" si="27"/>
        <v>0.10270606216269351</v>
      </c>
      <c r="H319" s="5"/>
    </row>
    <row r="320" spans="2:8" ht="22.5" customHeight="1">
      <c r="B320" s="10">
        <v>94</v>
      </c>
      <c r="C320" s="5" t="s">
        <v>19</v>
      </c>
      <c r="D320" s="5" t="s">
        <v>8</v>
      </c>
      <c r="E320" s="5" t="s">
        <v>1</v>
      </c>
      <c r="F320" s="5">
        <v>9327</v>
      </c>
      <c r="G320" s="13">
        <f t="shared" si="27"/>
        <v>5.9150320579897643E-2</v>
      </c>
      <c r="H320" s="5"/>
    </row>
    <row r="321" spans="2:8" ht="22.5" customHeight="1">
      <c r="B321" s="10">
        <v>95</v>
      </c>
      <c r="C321" s="5"/>
      <c r="D321" s="5"/>
      <c r="E321" s="5"/>
      <c r="F321" s="5"/>
      <c r="G321" s="13"/>
      <c r="H321" s="5"/>
    </row>
    <row r="322" spans="2:8" ht="22.5" customHeight="1">
      <c r="B322" s="10">
        <v>96</v>
      </c>
      <c r="C322" s="5" t="s">
        <v>19</v>
      </c>
      <c r="D322" s="5" t="s">
        <v>8</v>
      </c>
      <c r="E322" s="5" t="s">
        <v>1</v>
      </c>
      <c r="F322" s="5">
        <v>19542</v>
      </c>
      <c r="G322" s="13">
        <f t="shared" ref="G322:G353" si="28">F322/$W$2</f>
        <v>0.12393219307090808</v>
      </c>
      <c r="H322" s="5"/>
    </row>
    <row r="323" spans="2:8" ht="22.5" customHeight="1">
      <c r="B323" s="10">
        <v>97</v>
      </c>
      <c r="C323" s="5" t="s">
        <v>19</v>
      </c>
      <c r="D323" s="5" t="s">
        <v>8</v>
      </c>
      <c r="E323" s="5" t="s">
        <v>1</v>
      </c>
      <c r="F323" s="5">
        <v>50677</v>
      </c>
      <c r="G323" s="13">
        <f t="shared" si="28"/>
        <v>0.32138531103543183</v>
      </c>
      <c r="H323" s="5"/>
    </row>
    <row r="324" spans="2:8" ht="22.5" customHeight="1">
      <c r="B324" s="10">
        <v>98</v>
      </c>
      <c r="C324" s="5" t="s">
        <v>19</v>
      </c>
      <c r="D324" s="5" t="s">
        <v>8</v>
      </c>
      <c r="E324" s="5" t="s">
        <v>1</v>
      </c>
      <c r="F324" s="5">
        <v>10162</v>
      </c>
      <c r="G324" s="13">
        <f t="shared" si="28"/>
        <v>6.4445755090910245E-2</v>
      </c>
      <c r="H324" s="5"/>
    </row>
    <row r="325" spans="2:8" ht="22.5" customHeight="1">
      <c r="B325" s="10">
        <v>99</v>
      </c>
      <c r="C325" s="5" t="s">
        <v>19</v>
      </c>
      <c r="D325" s="5" t="s">
        <v>8</v>
      </c>
      <c r="E325" s="5" t="s">
        <v>1</v>
      </c>
      <c r="F325" s="5">
        <v>14631</v>
      </c>
      <c r="G325" s="13">
        <f t="shared" si="28"/>
        <v>9.2787427940868708E-2</v>
      </c>
      <c r="H325" s="5"/>
    </row>
    <row r="326" spans="2:8" ht="22.5" customHeight="1">
      <c r="B326" s="11">
        <v>11</v>
      </c>
      <c r="C326" s="5" t="s">
        <v>21</v>
      </c>
      <c r="D326" s="5" t="s">
        <v>7</v>
      </c>
      <c r="E326" s="5" t="s">
        <v>0</v>
      </c>
      <c r="F326" s="5">
        <v>12825</v>
      </c>
      <c r="G326" s="13">
        <f t="shared" si="28"/>
        <v>8.133406898651091E-2</v>
      </c>
      <c r="H326" s="5"/>
    </row>
    <row r="327" spans="2:8" ht="22.5" customHeight="1">
      <c r="B327" s="11">
        <v>12</v>
      </c>
      <c r="C327" s="5" t="s">
        <v>21</v>
      </c>
      <c r="D327" s="5" t="s">
        <v>8</v>
      </c>
      <c r="E327" s="5" t="s">
        <v>0</v>
      </c>
      <c r="F327" s="5">
        <v>11899</v>
      </c>
      <c r="G327" s="13">
        <f t="shared" si="28"/>
        <v>7.5461527241363999E-2</v>
      </c>
      <c r="H327" s="5"/>
    </row>
    <row r="328" spans="2:8" ht="22.5" customHeight="1">
      <c r="B328" s="11">
        <v>13</v>
      </c>
      <c r="C328" s="5" t="s">
        <v>21</v>
      </c>
      <c r="D328" s="5" t="s">
        <v>8</v>
      </c>
      <c r="E328" s="5" t="s">
        <v>0</v>
      </c>
      <c r="F328" s="5">
        <v>13323</v>
      </c>
      <c r="G328" s="13">
        <f t="shared" si="28"/>
        <v>8.4492304179905248E-2</v>
      </c>
      <c r="H328" s="5"/>
    </row>
    <row r="329" spans="2:8" ht="22.5" customHeight="1">
      <c r="B329" s="11">
        <v>14</v>
      </c>
      <c r="C329" s="5" t="s">
        <v>21</v>
      </c>
      <c r="D329" s="5" t="s">
        <v>8</v>
      </c>
      <c r="E329" s="5" t="s">
        <v>0</v>
      </c>
      <c r="F329" s="5">
        <v>21989</v>
      </c>
      <c r="G329" s="13">
        <f t="shared" si="28"/>
        <v>0.13945067001515699</v>
      </c>
      <c r="H329" s="5"/>
    </row>
    <row r="330" spans="2:8" ht="22.5" customHeight="1">
      <c r="B330" s="11">
        <v>15</v>
      </c>
      <c r="C330" s="5" t="s">
        <v>21</v>
      </c>
      <c r="D330" s="5" t="s">
        <v>8</v>
      </c>
      <c r="E330" s="5" t="s">
        <v>0</v>
      </c>
      <c r="F330" s="5">
        <v>18570</v>
      </c>
      <c r="G330" s="13">
        <f t="shared" si="28"/>
        <v>0.11776792678982516</v>
      </c>
      <c r="H330" s="5"/>
    </row>
    <row r="331" spans="2:8" ht="22.5" customHeight="1">
      <c r="B331" s="11">
        <v>16</v>
      </c>
      <c r="C331" s="5" t="s">
        <v>21</v>
      </c>
      <c r="D331" s="5" t="s">
        <v>8</v>
      </c>
      <c r="E331" s="5" t="s">
        <v>0</v>
      </c>
      <c r="F331" s="5">
        <v>34345</v>
      </c>
      <c r="G331" s="13">
        <f t="shared" si="28"/>
        <v>0.21781041710266802</v>
      </c>
      <c r="H331" s="5"/>
    </row>
    <row r="332" spans="2:8" ht="22.5" customHeight="1">
      <c r="B332" s="11">
        <v>17</v>
      </c>
      <c r="C332" s="5" t="s">
        <v>21</v>
      </c>
      <c r="D332" s="5" t="s">
        <v>8</v>
      </c>
      <c r="E332" s="5" t="s">
        <v>0</v>
      </c>
      <c r="F332" s="5">
        <v>25203</v>
      </c>
      <c r="G332" s="13">
        <f t="shared" si="28"/>
        <v>0.15983333650425222</v>
      </c>
      <c r="H332" s="5"/>
    </row>
    <row r="333" spans="2:8" ht="22.5" customHeight="1">
      <c r="B333" s="11">
        <v>18</v>
      </c>
      <c r="C333" s="5" t="s">
        <v>21</v>
      </c>
      <c r="D333" s="5" t="s">
        <v>8</v>
      </c>
      <c r="E333" s="5" t="s">
        <v>0</v>
      </c>
      <c r="F333" s="5">
        <v>23147</v>
      </c>
      <c r="G333" s="13">
        <f t="shared" si="28"/>
        <v>0.14679451811545949</v>
      </c>
      <c r="H333" s="5"/>
    </row>
    <row r="334" spans="2:8" ht="22.5" customHeight="1">
      <c r="B334" s="11">
        <v>19</v>
      </c>
      <c r="C334" s="5" t="s">
        <v>21</v>
      </c>
      <c r="D334" s="5" t="s">
        <v>8</v>
      </c>
      <c r="E334" s="5" t="s">
        <v>0</v>
      </c>
      <c r="F334" s="5">
        <v>41671</v>
      </c>
      <c r="G334" s="13">
        <f t="shared" si="28"/>
        <v>0.26427072036934862</v>
      </c>
      <c r="H334" s="5"/>
    </row>
    <row r="335" spans="2:8" ht="22.5" customHeight="1">
      <c r="B335" s="11">
        <v>21</v>
      </c>
      <c r="C335" s="5" t="s">
        <v>21</v>
      </c>
      <c r="D335" s="5" t="s">
        <v>8</v>
      </c>
      <c r="E335" s="5" t="s">
        <v>0</v>
      </c>
      <c r="F335" s="5">
        <v>20686</v>
      </c>
      <c r="G335" s="13">
        <f t="shared" si="28"/>
        <v>0.13118725544288223</v>
      </c>
      <c r="H335" s="5"/>
    </row>
    <row r="336" spans="2:8" ht="22.5" customHeight="1">
      <c r="B336" s="11">
        <v>22</v>
      </c>
      <c r="C336" s="5" t="s">
        <v>21</v>
      </c>
      <c r="D336" s="5" t="s">
        <v>8</v>
      </c>
      <c r="E336" s="5" t="s">
        <v>0</v>
      </c>
      <c r="F336" s="5">
        <v>13263</v>
      </c>
      <c r="G336" s="13">
        <f t="shared" si="28"/>
        <v>8.4111793915640873E-2</v>
      </c>
      <c r="H336" s="5"/>
    </row>
    <row r="337" spans="2:8" ht="22.5" customHeight="1">
      <c r="B337" s="11">
        <v>23</v>
      </c>
      <c r="C337" s="5" t="s">
        <v>21</v>
      </c>
      <c r="D337" s="5" t="s">
        <v>8</v>
      </c>
      <c r="E337" s="5" t="s">
        <v>0</v>
      </c>
      <c r="F337" s="5">
        <v>28156</v>
      </c>
      <c r="G337" s="13">
        <f t="shared" si="28"/>
        <v>0.17856078334379735</v>
      </c>
      <c r="H337" s="5"/>
    </row>
    <row r="338" spans="2:8" ht="22.5" customHeight="1">
      <c r="B338" s="11">
        <v>24</v>
      </c>
      <c r="C338" s="5" t="s">
        <v>21</v>
      </c>
      <c r="D338" s="5" t="s">
        <v>8</v>
      </c>
      <c r="E338" s="5" t="s">
        <v>0</v>
      </c>
      <c r="F338" s="5">
        <v>15219</v>
      </c>
      <c r="G338" s="13">
        <f t="shared" si="28"/>
        <v>9.6516428530659615E-2</v>
      </c>
      <c r="H338" s="5"/>
    </row>
    <row r="339" spans="2:8" ht="22.5" customHeight="1">
      <c r="B339" s="11">
        <v>25</v>
      </c>
      <c r="C339" s="5" t="s">
        <v>21</v>
      </c>
      <c r="D339" s="5" t="s">
        <v>8</v>
      </c>
      <c r="E339" s="5" t="s">
        <v>0</v>
      </c>
      <c r="F339" s="5">
        <v>48261</v>
      </c>
      <c r="G339" s="13">
        <f t="shared" si="28"/>
        <v>0.30606343106105288</v>
      </c>
      <c r="H339" s="5"/>
    </row>
    <row r="340" spans="2:8" ht="22.5" customHeight="1">
      <c r="B340" s="11">
        <v>26</v>
      </c>
      <c r="C340" s="5" t="s">
        <v>21</v>
      </c>
      <c r="D340" s="5" t="s">
        <v>8</v>
      </c>
      <c r="E340" s="5" t="s">
        <v>0</v>
      </c>
      <c r="F340" s="5">
        <v>22725</v>
      </c>
      <c r="G340" s="13">
        <f t="shared" si="28"/>
        <v>0.14411826259013336</v>
      </c>
      <c r="H340" s="5"/>
    </row>
    <row r="341" spans="2:8" ht="22.5" customHeight="1">
      <c r="B341" s="11">
        <v>27</v>
      </c>
      <c r="C341" s="5" t="s">
        <v>21</v>
      </c>
      <c r="D341" s="5" t="s">
        <v>8</v>
      </c>
      <c r="E341" s="5" t="s">
        <v>0</v>
      </c>
      <c r="F341" s="5">
        <v>34458</v>
      </c>
      <c r="G341" s="13">
        <f t="shared" si="28"/>
        <v>0.21852704476703258</v>
      </c>
      <c r="H341" s="5"/>
    </row>
    <row r="342" spans="2:8" ht="22.5" customHeight="1">
      <c r="B342" s="11">
        <v>28</v>
      </c>
      <c r="C342" s="5" t="s">
        <v>21</v>
      </c>
      <c r="D342" s="5" t="s">
        <v>8</v>
      </c>
      <c r="E342" s="5" t="s">
        <v>0</v>
      </c>
      <c r="F342" s="5">
        <v>11079</v>
      </c>
      <c r="G342" s="13">
        <f t="shared" si="28"/>
        <v>7.0261220296417501E-2</v>
      </c>
      <c r="H342" s="5"/>
    </row>
    <row r="343" spans="2:8" ht="22.5" customHeight="1">
      <c r="B343" s="11">
        <v>29</v>
      </c>
      <c r="C343" s="5" t="s">
        <v>21</v>
      </c>
      <c r="D343" s="5" t="s">
        <v>8</v>
      </c>
      <c r="E343" s="5" t="s">
        <v>0</v>
      </c>
      <c r="F343" s="5">
        <v>19414</v>
      </c>
      <c r="G343" s="13">
        <f t="shared" si="28"/>
        <v>0.12312043784047741</v>
      </c>
      <c r="H343" s="5"/>
    </row>
    <row r="344" spans="2:8" ht="22.5" customHeight="1">
      <c r="B344" s="11">
        <v>31</v>
      </c>
      <c r="C344" s="5" t="s">
        <v>21</v>
      </c>
      <c r="D344" s="5" t="s">
        <v>8</v>
      </c>
      <c r="E344" s="5" t="s">
        <v>0</v>
      </c>
      <c r="F344" s="5">
        <v>34917</v>
      </c>
      <c r="G344" s="13">
        <f t="shared" si="28"/>
        <v>0.2214379482886551</v>
      </c>
      <c r="H344" s="5"/>
    </row>
    <row r="345" spans="2:8" ht="22.5" customHeight="1">
      <c r="B345" s="11">
        <v>32</v>
      </c>
      <c r="C345" s="5" t="s">
        <v>21</v>
      </c>
      <c r="D345" s="5" t="s">
        <v>8</v>
      </c>
      <c r="E345" s="5" t="s">
        <v>0</v>
      </c>
      <c r="F345" s="5">
        <v>32221</v>
      </c>
      <c r="G345" s="13">
        <f t="shared" si="28"/>
        <v>0.20434035374770901</v>
      </c>
      <c r="H345" s="5"/>
    </row>
    <row r="346" spans="2:8" ht="22.5" customHeight="1">
      <c r="B346" s="11">
        <v>33</v>
      </c>
      <c r="C346" s="5" t="s">
        <v>21</v>
      </c>
      <c r="D346" s="5" t="s">
        <v>8</v>
      </c>
      <c r="E346" s="5" t="s">
        <v>0</v>
      </c>
      <c r="F346" s="5">
        <v>18720</v>
      </c>
      <c r="G346" s="13">
        <f t="shared" si="28"/>
        <v>0.1187192024504861</v>
      </c>
      <c r="H346" s="5"/>
    </row>
    <row r="347" spans="2:8" ht="22.5" customHeight="1">
      <c r="B347" s="11">
        <v>34</v>
      </c>
      <c r="C347" s="5" t="s">
        <v>21</v>
      </c>
      <c r="D347" s="5" t="s">
        <v>8</v>
      </c>
      <c r="E347" s="5" t="s">
        <v>0</v>
      </c>
      <c r="F347" s="5">
        <v>27049</v>
      </c>
      <c r="G347" s="13">
        <f t="shared" si="28"/>
        <v>0.17154036896811958</v>
      </c>
      <c r="H347" s="5"/>
    </row>
    <row r="348" spans="2:8" ht="22.5" customHeight="1">
      <c r="B348" s="11">
        <v>35</v>
      </c>
      <c r="C348" s="5" t="s">
        <v>21</v>
      </c>
      <c r="D348" s="5" t="s">
        <v>8</v>
      </c>
      <c r="E348" s="5" t="s">
        <v>0</v>
      </c>
      <c r="F348" s="5">
        <v>27525</v>
      </c>
      <c r="G348" s="13">
        <f t="shared" si="28"/>
        <v>0.17455908373128365</v>
      </c>
      <c r="H348" s="5"/>
    </row>
    <row r="349" spans="2:8" ht="22.5" customHeight="1">
      <c r="B349" s="11">
        <v>36</v>
      </c>
      <c r="C349" s="5" t="s">
        <v>21</v>
      </c>
      <c r="D349" s="5" t="s">
        <v>8</v>
      </c>
      <c r="E349" s="5" t="s">
        <v>0</v>
      </c>
      <c r="F349" s="5">
        <v>22717</v>
      </c>
      <c r="G349" s="13">
        <f t="shared" si="28"/>
        <v>0.14406752788823146</v>
      </c>
      <c r="H349" s="5"/>
    </row>
    <row r="350" spans="2:8" ht="22.5" customHeight="1">
      <c r="B350" s="11">
        <v>37</v>
      </c>
      <c r="C350" s="5" t="s">
        <v>21</v>
      </c>
      <c r="D350" s="5" t="s">
        <v>8</v>
      </c>
      <c r="E350" s="5" t="s">
        <v>0</v>
      </c>
      <c r="F350" s="5">
        <v>45058</v>
      </c>
      <c r="G350" s="13">
        <f t="shared" si="28"/>
        <v>0.2857505247870728</v>
      </c>
      <c r="H350" s="5"/>
    </row>
    <row r="351" spans="2:8" ht="22.5" customHeight="1">
      <c r="B351" s="11">
        <v>38</v>
      </c>
      <c r="C351" s="5" t="s">
        <v>21</v>
      </c>
      <c r="D351" s="5" t="s">
        <v>8</v>
      </c>
      <c r="E351" s="5" t="s">
        <v>0</v>
      </c>
      <c r="F351" s="5">
        <v>38819</v>
      </c>
      <c r="G351" s="13">
        <f t="shared" si="28"/>
        <v>0.24618379914131516</v>
      </c>
      <c r="H351" s="5"/>
    </row>
    <row r="352" spans="2:8" ht="22.5" customHeight="1">
      <c r="B352" s="11">
        <v>39</v>
      </c>
      <c r="C352" s="5" t="s">
        <v>21</v>
      </c>
      <c r="D352" s="5" t="s">
        <v>8</v>
      </c>
      <c r="E352" s="5" t="s">
        <v>0</v>
      </c>
      <c r="F352" s="5">
        <v>22025</v>
      </c>
      <c r="G352" s="13">
        <f t="shared" si="28"/>
        <v>0.13967897617371561</v>
      </c>
      <c r="H352" s="5"/>
    </row>
    <row r="353" spans="2:8" ht="22.5" customHeight="1">
      <c r="B353" s="11">
        <v>41</v>
      </c>
      <c r="C353" s="5" t="s">
        <v>20</v>
      </c>
      <c r="D353" s="5" t="s">
        <v>8</v>
      </c>
      <c r="E353" s="5" t="s">
        <v>1</v>
      </c>
      <c r="F353" s="5">
        <v>19537</v>
      </c>
      <c r="G353" s="13">
        <f t="shared" si="28"/>
        <v>0.12390048388221939</v>
      </c>
      <c r="H353" s="5"/>
    </row>
    <row r="354" spans="2:8" ht="22.5" customHeight="1">
      <c r="B354" s="11">
        <v>42</v>
      </c>
      <c r="C354" s="5" t="s">
        <v>20</v>
      </c>
      <c r="D354" s="5" t="s">
        <v>8</v>
      </c>
      <c r="E354" s="5" t="s">
        <v>1</v>
      </c>
      <c r="F354" s="5">
        <v>26792</v>
      </c>
      <c r="G354" s="13">
        <f t="shared" ref="G354:G370" si="29">F354/$W$2</f>
        <v>0.16991051666952051</v>
      </c>
      <c r="H354" s="5"/>
    </row>
    <row r="355" spans="2:8" ht="22.5" customHeight="1">
      <c r="B355" s="11">
        <v>43</v>
      </c>
      <c r="C355" s="5" t="s">
        <v>20</v>
      </c>
      <c r="D355" s="5" t="s">
        <v>8</v>
      </c>
      <c r="E355" s="5" t="s">
        <v>1</v>
      </c>
      <c r="F355" s="5">
        <v>16874</v>
      </c>
      <c r="G355" s="13">
        <f t="shared" si="29"/>
        <v>0.10701216998661872</v>
      </c>
      <c r="H355" s="5"/>
    </row>
    <row r="356" spans="2:8" ht="22.5" customHeight="1">
      <c r="B356" s="11">
        <v>44</v>
      </c>
      <c r="C356" s="5" t="s">
        <v>20</v>
      </c>
      <c r="D356" s="5" t="s">
        <v>8</v>
      </c>
      <c r="E356" s="5" t="s">
        <v>1</v>
      </c>
      <c r="F356" s="5">
        <v>18572</v>
      </c>
      <c r="G356" s="13">
        <f t="shared" si="29"/>
        <v>0.11778061046530064</v>
      </c>
      <c r="H356" s="5"/>
    </row>
    <row r="357" spans="2:8" ht="22.5" customHeight="1">
      <c r="B357" s="11">
        <v>45</v>
      </c>
      <c r="C357" s="5" t="s">
        <v>20</v>
      </c>
      <c r="D357" s="5" t="s">
        <v>8</v>
      </c>
      <c r="E357" s="5" t="s">
        <v>1</v>
      </c>
      <c r="F357" s="5">
        <v>17737</v>
      </c>
      <c r="G357" s="13">
        <f t="shared" si="29"/>
        <v>0.11248517595428803</v>
      </c>
      <c r="H357" s="5"/>
    </row>
    <row r="358" spans="2:8" ht="22.5" customHeight="1">
      <c r="B358" s="11">
        <v>46</v>
      </c>
      <c r="C358" s="5" t="s">
        <v>20</v>
      </c>
      <c r="D358" s="5" t="s">
        <v>8</v>
      </c>
      <c r="E358" s="5" t="s">
        <v>1</v>
      </c>
      <c r="F358" s="5">
        <v>27294</v>
      </c>
      <c r="G358" s="13">
        <f t="shared" si="29"/>
        <v>0.1730941192138658</v>
      </c>
      <c r="H358" s="5"/>
    </row>
    <row r="359" spans="2:8" ht="22.5" customHeight="1">
      <c r="B359" s="11">
        <v>47</v>
      </c>
      <c r="C359" s="5" t="s">
        <v>20</v>
      </c>
      <c r="D359" s="5" t="s">
        <v>8</v>
      </c>
      <c r="E359" s="5" t="s">
        <v>1</v>
      </c>
      <c r="F359" s="5">
        <v>17216</v>
      </c>
      <c r="G359" s="13">
        <f t="shared" si="29"/>
        <v>0.10918107849292567</v>
      </c>
      <c r="H359" s="5"/>
    </row>
    <row r="360" spans="2:8" ht="22.5" customHeight="1">
      <c r="B360" s="11">
        <v>48</v>
      </c>
      <c r="C360" s="5" t="s">
        <v>20</v>
      </c>
      <c r="D360" s="5" t="s">
        <v>8</v>
      </c>
      <c r="E360" s="5" t="s">
        <v>1</v>
      </c>
      <c r="F360" s="5">
        <v>23932</v>
      </c>
      <c r="G360" s="13">
        <f t="shared" si="29"/>
        <v>0.15177286073958512</v>
      </c>
      <c r="H360" s="5"/>
    </row>
    <row r="361" spans="2:8" ht="22.5" customHeight="1">
      <c r="B361" s="11">
        <v>49</v>
      </c>
      <c r="C361" s="5" t="s">
        <v>20</v>
      </c>
      <c r="D361" s="5" t="s">
        <v>8</v>
      </c>
      <c r="E361" s="5" t="s">
        <v>1</v>
      </c>
      <c r="F361" s="5">
        <v>9822</v>
      </c>
      <c r="G361" s="13">
        <f t="shared" si="29"/>
        <v>6.2289530260078767E-2</v>
      </c>
      <c r="H361" s="5"/>
    </row>
    <row r="362" spans="2:8" ht="22.5" customHeight="1">
      <c r="B362" s="11">
        <v>51</v>
      </c>
      <c r="C362" s="5" t="s">
        <v>20</v>
      </c>
      <c r="D362" s="5" t="s">
        <v>8</v>
      </c>
      <c r="E362" s="5" t="s">
        <v>1</v>
      </c>
      <c r="F362" s="5">
        <v>10338</v>
      </c>
      <c r="G362" s="13">
        <f t="shared" si="29"/>
        <v>6.5561918532752422E-2</v>
      </c>
      <c r="H362" s="5"/>
    </row>
    <row r="363" spans="2:8" ht="22.5" customHeight="1">
      <c r="B363" s="11">
        <v>52</v>
      </c>
      <c r="C363" s="5" t="s">
        <v>20</v>
      </c>
      <c r="D363" s="5" t="s">
        <v>8</v>
      </c>
      <c r="E363" s="5" t="s">
        <v>1</v>
      </c>
      <c r="F363" s="5">
        <v>24859</v>
      </c>
      <c r="G363" s="13">
        <f t="shared" si="29"/>
        <v>0.15765174432246976</v>
      </c>
      <c r="H363" s="5"/>
    </row>
    <row r="364" spans="2:8" ht="22.5" customHeight="1">
      <c r="B364" s="11">
        <v>53</v>
      </c>
      <c r="C364" s="5" t="s">
        <v>20</v>
      </c>
      <c r="D364" s="5" t="s">
        <v>8</v>
      </c>
      <c r="E364" s="5" t="s">
        <v>1</v>
      </c>
      <c r="F364" s="5">
        <v>25164</v>
      </c>
      <c r="G364" s="13">
        <f t="shared" si="29"/>
        <v>0.15958600483248037</v>
      </c>
      <c r="H364" s="5"/>
    </row>
    <row r="365" spans="2:8" ht="22.5" customHeight="1">
      <c r="B365" s="11">
        <v>54</v>
      </c>
      <c r="C365" s="5" t="s">
        <v>20</v>
      </c>
      <c r="D365" s="5" t="s">
        <v>8</v>
      </c>
      <c r="E365" s="5" t="s">
        <v>1</v>
      </c>
      <c r="F365" s="5">
        <v>24160</v>
      </c>
      <c r="G365" s="13">
        <f t="shared" si="29"/>
        <v>0.15321879974378977</v>
      </c>
      <c r="H365" s="5"/>
    </row>
    <row r="366" spans="2:8" ht="22.5" customHeight="1">
      <c r="B366" s="11">
        <v>55</v>
      </c>
      <c r="C366" s="5" t="s">
        <v>20</v>
      </c>
      <c r="D366" s="5" t="s">
        <v>8</v>
      </c>
      <c r="E366" s="5" t="s">
        <v>1</v>
      </c>
      <c r="F366" s="5">
        <v>16554</v>
      </c>
      <c r="G366" s="13">
        <f t="shared" si="29"/>
        <v>0.10498278191054204</v>
      </c>
      <c r="H366" s="5"/>
    </row>
    <row r="367" spans="2:8" ht="22.5" customHeight="1">
      <c r="B367" s="11">
        <v>56</v>
      </c>
      <c r="C367" s="5" t="s">
        <v>20</v>
      </c>
      <c r="D367" s="5" t="s">
        <v>8</v>
      </c>
      <c r="E367" s="5" t="s">
        <v>1</v>
      </c>
      <c r="F367" s="5">
        <v>40022</v>
      </c>
      <c r="G367" s="13">
        <f t="shared" si="29"/>
        <v>0.25381302993981597</v>
      </c>
      <c r="H367" s="5"/>
    </row>
    <row r="368" spans="2:8" ht="22.5" customHeight="1">
      <c r="B368" s="11">
        <v>57</v>
      </c>
      <c r="C368" s="5" t="s">
        <v>20</v>
      </c>
      <c r="D368" s="5" t="s">
        <v>8</v>
      </c>
      <c r="E368" s="5" t="s">
        <v>1</v>
      </c>
      <c r="F368" s="5">
        <v>8747</v>
      </c>
      <c r="G368" s="13">
        <f t="shared" si="29"/>
        <v>5.5472054692008652E-2</v>
      </c>
      <c r="H368" s="5"/>
    </row>
    <row r="369" spans="2:8" ht="22.5" customHeight="1">
      <c r="B369" s="11">
        <v>58</v>
      </c>
      <c r="C369" s="5" t="s">
        <v>20</v>
      </c>
      <c r="D369" s="5" t="s">
        <v>8</v>
      </c>
      <c r="E369" s="5" t="s">
        <v>1</v>
      </c>
      <c r="F369" s="5">
        <v>28327</v>
      </c>
      <c r="G369" s="13">
        <f t="shared" si="29"/>
        <v>0.17964523759695084</v>
      </c>
      <c r="H369" s="5"/>
    </row>
    <row r="370" spans="2:8" ht="22.5" customHeight="1">
      <c r="B370" s="11">
        <v>59</v>
      </c>
      <c r="C370" s="5" t="s">
        <v>20</v>
      </c>
      <c r="D370" s="5" t="s">
        <v>8</v>
      </c>
      <c r="E370" s="5" t="s">
        <v>1</v>
      </c>
      <c r="F370" s="5">
        <v>20788</v>
      </c>
      <c r="G370" s="13">
        <f t="shared" si="29"/>
        <v>0.13183412289213167</v>
      </c>
      <c r="H370" s="5"/>
    </row>
    <row r="371" spans="2:8" ht="22.5" customHeight="1">
      <c r="B371" s="11">
        <v>61</v>
      </c>
      <c r="C371" s="5"/>
      <c r="D371" s="5"/>
      <c r="E371" s="5"/>
      <c r="F371" s="5"/>
      <c r="G371" s="13"/>
      <c r="H371" s="5"/>
    </row>
    <row r="372" spans="2:8" ht="22.5" customHeight="1">
      <c r="B372" s="11">
        <v>62</v>
      </c>
      <c r="C372" s="5" t="s">
        <v>20</v>
      </c>
      <c r="D372" s="5" t="s">
        <v>8</v>
      </c>
      <c r="E372" s="5" t="s">
        <v>1</v>
      </c>
      <c r="F372" s="5">
        <v>17825</v>
      </c>
      <c r="G372" s="13">
        <f t="shared" ref="G372:G384" si="30">F372/$W$2</f>
        <v>0.11304325767520912</v>
      </c>
      <c r="H372" s="5"/>
    </row>
    <row r="373" spans="2:8" ht="22.5" customHeight="1">
      <c r="B373" s="11">
        <v>63</v>
      </c>
      <c r="C373" s="5" t="s">
        <v>20</v>
      </c>
      <c r="D373" s="5" t="s">
        <v>8</v>
      </c>
      <c r="E373" s="5" t="s">
        <v>1</v>
      </c>
      <c r="F373" s="5">
        <v>21309</v>
      </c>
      <c r="G373" s="13">
        <f t="shared" si="30"/>
        <v>0.13513822035349404</v>
      </c>
      <c r="H373" s="5"/>
    </row>
    <row r="374" spans="2:8" ht="22.5" customHeight="1">
      <c r="B374" s="11">
        <v>64</v>
      </c>
      <c r="C374" s="5" t="s">
        <v>20</v>
      </c>
      <c r="D374" s="5" t="s">
        <v>8</v>
      </c>
      <c r="E374" s="5" t="s">
        <v>1</v>
      </c>
      <c r="F374" s="5">
        <v>26803</v>
      </c>
      <c r="G374" s="13">
        <f t="shared" si="30"/>
        <v>0.16998027688463563</v>
      </c>
      <c r="H374" s="5"/>
    </row>
    <row r="375" spans="2:8" ht="22.5" customHeight="1">
      <c r="B375" s="11">
        <v>65</v>
      </c>
      <c r="C375" s="5" t="s">
        <v>20</v>
      </c>
      <c r="D375" s="5" t="s">
        <v>8</v>
      </c>
      <c r="E375" s="5" t="s">
        <v>1</v>
      </c>
      <c r="F375" s="5">
        <v>39625</v>
      </c>
      <c r="G375" s="13">
        <f t="shared" si="30"/>
        <v>0.25129532035793334</v>
      </c>
      <c r="H375" s="5"/>
    </row>
    <row r="376" spans="2:8" ht="22.5" customHeight="1">
      <c r="B376" s="11">
        <v>66</v>
      </c>
      <c r="C376" s="5" t="s">
        <v>20</v>
      </c>
      <c r="D376" s="5" t="s">
        <v>8</v>
      </c>
      <c r="E376" s="5" t="s">
        <v>1</v>
      </c>
      <c r="F376" s="5">
        <v>19731</v>
      </c>
      <c r="G376" s="13">
        <f t="shared" si="30"/>
        <v>0.12513080040334087</v>
      </c>
      <c r="H376" s="5"/>
    </row>
    <row r="377" spans="2:8" ht="22.5" customHeight="1">
      <c r="B377" s="11">
        <v>67</v>
      </c>
      <c r="C377" s="5" t="s">
        <v>20</v>
      </c>
      <c r="D377" s="5" t="s">
        <v>8</v>
      </c>
      <c r="E377" s="5" t="s">
        <v>1</v>
      </c>
      <c r="F377" s="5">
        <v>14381</v>
      </c>
      <c r="G377" s="13">
        <f t="shared" si="30"/>
        <v>9.1201968506433792E-2</v>
      </c>
      <c r="H377" s="5"/>
    </row>
    <row r="378" spans="2:8" ht="22.5" customHeight="1">
      <c r="B378" s="11">
        <v>68</v>
      </c>
      <c r="C378" s="5" t="s">
        <v>20</v>
      </c>
      <c r="D378" s="5" t="s">
        <v>8</v>
      </c>
      <c r="E378" s="5" t="s">
        <v>1</v>
      </c>
      <c r="F378" s="5">
        <v>14722</v>
      </c>
      <c r="G378" s="13">
        <f t="shared" si="30"/>
        <v>9.3364535175003011E-2</v>
      </c>
      <c r="H378" s="5"/>
    </row>
    <row r="379" spans="2:8" ht="22.5" customHeight="1">
      <c r="B379" s="11">
        <v>69</v>
      </c>
      <c r="C379" s="5" t="s">
        <v>20</v>
      </c>
      <c r="D379" s="5" t="s">
        <v>8</v>
      </c>
      <c r="E379" s="5" t="s">
        <v>1</v>
      </c>
      <c r="F379" s="5">
        <v>18900</v>
      </c>
      <c r="G379" s="13">
        <f t="shared" si="30"/>
        <v>0.11986073324327924</v>
      </c>
      <c r="H379" s="5"/>
    </row>
    <row r="380" spans="2:8" ht="22.5" customHeight="1">
      <c r="B380" s="11">
        <v>71</v>
      </c>
      <c r="C380" s="5" t="s">
        <v>20</v>
      </c>
      <c r="D380" s="5" t="s">
        <v>7</v>
      </c>
      <c r="E380" s="5" t="s">
        <v>1</v>
      </c>
      <c r="F380" s="5">
        <v>21455</v>
      </c>
      <c r="G380" s="13">
        <f t="shared" si="30"/>
        <v>0.13606412866320403</v>
      </c>
      <c r="H380" s="5"/>
    </row>
    <row r="381" spans="2:8" ht="22.5" customHeight="1">
      <c r="B381" s="11">
        <v>72</v>
      </c>
      <c r="C381" s="5" t="s">
        <v>20</v>
      </c>
      <c r="D381" s="5" t="s">
        <v>7</v>
      </c>
      <c r="E381" s="5" t="s">
        <v>1</v>
      </c>
      <c r="F381" s="5">
        <v>36773</v>
      </c>
      <c r="G381" s="13">
        <f t="shared" si="30"/>
        <v>0.23320839912989985</v>
      </c>
      <c r="H381" s="5"/>
    </row>
    <row r="382" spans="2:8" ht="22.5" customHeight="1">
      <c r="B382" s="11">
        <v>73</v>
      </c>
      <c r="C382" s="5" t="s">
        <v>20</v>
      </c>
      <c r="D382" s="5" t="s">
        <v>7</v>
      </c>
      <c r="E382" s="5" t="s">
        <v>1</v>
      </c>
      <c r="F382" s="5">
        <v>8134</v>
      </c>
      <c r="G382" s="13">
        <f t="shared" si="30"/>
        <v>5.1584508158774252E-2</v>
      </c>
      <c r="H382" s="5"/>
    </row>
    <row r="383" spans="2:8" ht="22.5" customHeight="1">
      <c r="B383" s="11">
        <v>74</v>
      </c>
      <c r="C383" s="5" t="s">
        <v>20</v>
      </c>
      <c r="D383" s="5" t="s">
        <v>7</v>
      </c>
      <c r="E383" s="5" t="s">
        <v>1</v>
      </c>
      <c r="F383" s="5">
        <v>29992</v>
      </c>
      <c r="G383" s="13">
        <f t="shared" si="30"/>
        <v>0.19020439743028736</v>
      </c>
      <c r="H383" s="5"/>
    </row>
    <row r="384" spans="2:8" ht="22.5" customHeight="1">
      <c r="B384" s="11">
        <v>75</v>
      </c>
      <c r="C384" s="5" t="s">
        <v>20</v>
      </c>
      <c r="D384" s="5" t="s">
        <v>7</v>
      </c>
      <c r="E384" s="5" t="s">
        <v>1</v>
      </c>
      <c r="F384" s="5">
        <v>10723</v>
      </c>
      <c r="G384" s="13">
        <f t="shared" si="30"/>
        <v>6.8003526061782185E-2</v>
      </c>
      <c r="H384" s="5"/>
    </row>
    <row r="385" spans="2:8" ht="22.5" customHeight="1">
      <c r="B385" s="11">
        <v>76</v>
      </c>
      <c r="C385" s="5"/>
      <c r="D385" s="5"/>
      <c r="E385" s="5"/>
      <c r="F385" s="5"/>
      <c r="G385" s="13"/>
      <c r="H385" s="5"/>
    </row>
    <row r="386" spans="2:8" ht="22.5" customHeight="1">
      <c r="B386" s="11">
        <v>77</v>
      </c>
      <c r="C386" s="5" t="s">
        <v>20</v>
      </c>
      <c r="D386" s="5" t="s">
        <v>7</v>
      </c>
      <c r="E386" s="5" t="s">
        <v>1</v>
      </c>
      <c r="F386" s="5">
        <v>24024</v>
      </c>
      <c r="G386" s="13">
        <f>F386/$W$2</f>
        <v>0.15235630981145717</v>
      </c>
      <c r="H386" s="5"/>
    </row>
    <row r="387" spans="2:8" ht="22.5" customHeight="1">
      <c r="B387" s="11">
        <v>78</v>
      </c>
      <c r="C387" s="5" t="s">
        <v>20</v>
      </c>
      <c r="D387" s="5" t="s">
        <v>7</v>
      </c>
      <c r="E387" s="5" t="s">
        <v>1</v>
      </c>
      <c r="F387" s="5">
        <v>12651</v>
      </c>
      <c r="G387" s="13">
        <f t="shared" ref="G387:G450" si="31">F387/$W$2</f>
        <v>8.0230589220144213E-2</v>
      </c>
      <c r="H387" s="5"/>
    </row>
    <row r="388" spans="2:8" ht="22.5" customHeight="1">
      <c r="B388" s="11">
        <v>79</v>
      </c>
      <c r="C388" s="5" t="s">
        <v>20</v>
      </c>
      <c r="D388" s="5" t="s">
        <v>7</v>
      </c>
      <c r="E388" s="5" t="s">
        <v>1</v>
      </c>
      <c r="F388" s="5">
        <v>33233</v>
      </c>
      <c r="G388" s="13">
        <f t="shared" si="31"/>
        <v>0.21075829353830153</v>
      </c>
      <c r="H388" s="5"/>
    </row>
    <row r="389" spans="2:8" ht="22.5" customHeight="1">
      <c r="B389" s="11">
        <v>81</v>
      </c>
      <c r="C389" s="5" t="s">
        <v>20</v>
      </c>
      <c r="D389" s="5" t="s">
        <v>7</v>
      </c>
      <c r="E389" s="5" t="s">
        <v>1</v>
      </c>
      <c r="F389" s="5">
        <v>18873</v>
      </c>
      <c r="G389" s="13">
        <f t="shared" si="31"/>
        <v>0.11968950362436026</v>
      </c>
      <c r="H389" s="5"/>
    </row>
    <row r="390" spans="2:8" ht="22.5" customHeight="1">
      <c r="B390" s="11">
        <v>82</v>
      </c>
      <c r="C390" s="5" t="s">
        <v>20</v>
      </c>
      <c r="D390" s="5" t="s">
        <v>7</v>
      </c>
      <c r="E390" s="5" t="s">
        <v>1</v>
      </c>
      <c r="F390" s="5">
        <v>27089</v>
      </c>
      <c r="G390" s="13">
        <f t="shared" si="31"/>
        <v>0.17179404247762917</v>
      </c>
      <c r="H390" s="5"/>
    </row>
    <row r="391" spans="2:8" ht="22.5" customHeight="1">
      <c r="B391" s="11">
        <v>83</v>
      </c>
      <c r="C391" s="5" t="s">
        <v>20</v>
      </c>
      <c r="D391" s="5" t="s">
        <v>7</v>
      </c>
      <c r="E391" s="5" t="s">
        <v>1</v>
      </c>
      <c r="F391" s="5">
        <v>41251</v>
      </c>
      <c r="G391" s="13">
        <f t="shared" si="31"/>
        <v>0.26160714851949796</v>
      </c>
      <c r="H391" s="5"/>
    </row>
    <row r="392" spans="2:8" ht="22.5" customHeight="1">
      <c r="B392" s="11">
        <v>84</v>
      </c>
      <c r="C392" s="5" t="s">
        <v>20</v>
      </c>
      <c r="D392" s="5" t="s">
        <v>7</v>
      </c>
      <c r="E392" s="5" t="s">
        <v>1</v>
      </c>
      <c r="F392" s="5">
        <v>15520</v>
      </c>
      <c r="G392" s="13">
        <f t="shared" si="31"/>
        <v>9.842532168971925E-2</v>
      </c>
      <c r="H392" s="5"/>
    </row>
    <row r="393" spans="2:8" ht="22.5" customHeight="1">
      <c r="B393" s="11">
        <v>85</v>
      </c>
      <c r="C393" s="5" t="s">
        <v>20</v>
      </c>
      <c r="D393" s="5" t="s">
        <v>7</v>
      </c>
      <c r="E393" s="5" t="s">
        <v>1</v>
      </c>
      <c r="F393" s="5">
        <v>7629</v>
      </c>
      <c r="G393" s="13">
        <f t="shared" si="31"/>
        <v>4.8381880101215732E-2</v>
      </c>
      <c r="H393" s="5"/>
    </row>
    <row r="394" spans="2:8" ht="22.5" customHeight="1">
      <c r="B394" s="11">
        <v>86</v>
      </c>
      <c r="C394" s="5" t="s">
        <v>20</v>
      </c>
      <c r="D394" s="5" t="s">
        <v>7</v>
      </c>
      <c r="E394" s="5" t="s">
        <v>1</v>
      </c>
      <c r="F394" s="5">
        <v>39200</v>
      </c>
      <c r="G394" s="13">
        <f t="shared" si="31"/>
        <v>0.24860003931939398</v>
      </c>
      <c r="H394" s="5"/>
    </row>
    <row r="395" spans="2:8" ht="22.5" customHeight="1">
      <c r="B395" s="11">
        <v>87</v>
      </c>
      <c r="C395" s="5" t="s">
        <v>20</v>
      </c>
      <c r="D395" s="5" t="s">
        <v>7</v>
      </c>
      <c r="E395" s="5" t="s">
        <v>1</v>
      </c>
      <c r="F395" s="5">
        <v>27439</v>
      </c>
      <c r="G395" s="13">
        <f t="shared" si="31"/>
        <v>0.17401368568583805</v>
      </c>
      <c r="H395" s="5"/>
    </row>
    <row r="396" spans="2:8" ht="22.5" customHeight="1">
      <c r="B396" s="11">
        <v>88</v>
      </c>
      <c r="C396" s="5" t="s">
        <v>20</v>
      </c>
      <c r="D396" s="5" t="s">
        <v>7</v>
      </c>
      <c r="E396" s="5" t="s">
        <v>1</v>
      </c>
      <c r="F396" s="5">
        <v>16067</v>
      </c>
      <c r="G396" s="13">
        <f t="shared" si="31"/>
        <v>0.10189430693226283</v>
      </c>
      <c r="H396" s="5"/>
    </row>
    <row r="397" spans="2:8" ht="22.5" customHeight="1">
      <c r="B397" s="11">
        <v>89</v>
      </c>
      <c r="C397" s="5" t="s">
        <v>20</v>
      </c>
      <c r="D397" s="5" t="s">
        <v>7</v>
      </c>
      <c r="E397" s="5" t="s">
        <v>1</v>
      </c>
      <c r="F397" s="5">
        <v>23861</v>
      </c>
      <c r="G397" s="13">
        <f t="shared" si="31"/>
        <v>0.15132259026020561</v>
      </c>
      <c r="H397" s="5"/>
    </row>
    <row r="398" spans="2:8" ht="22.5" customHeight="1">
      <c r="B398" s="11">
        <v>91</v>
      </c>
      <c r="C398" s="5" t="s">
        <v>20</v>
      </c>
      <c r="D398" s="5" t="s">
        <v>7</v>
      </c>
      <c r="E398" s="5" t="s">
        <v>1</v>
      </c>
      <c r="F398" s="5">
        <v>10432</v>
      </c>
      <c r="G398" s="13">
        <f t="shared" si="31"/>
        <v>6.6158051280099953E-2</v>
      </c>
      <c r="H398" s="5"/>
    </row>
    <row r="399" spans="2:8" ht="22.5" customHeight="1">
      <c r="B399" s="11">
        <v>92</v>
      </c>
      <c r="C399" s="5" t="s">
        <v>20</v>
      </c>
      <c r="D399" s="5" t="s">
        <v>7</v>
      </c>
      <c r="E399" s="5" t="s">
        <v>1</v>
      </c>
      <c r="F399" s="5">
        <v>18011</v>
      </c>
      <c r="G399" s="13">
        <f t="shared" si="31"/>
        <v>0.1142228394944287</v>
      </c>
      <c r="H399" s="5"/>
    </row>
    <row r="400" spans="2:8" ht="22.5" customHeight="1">
      <c r="B400" s="11">
        <v>93</v>
      </c>
      <c r="C400" s="5" t="s">
        <v>20</v>
      </c>
      <c r="D400" s="5" t="s">
        <v>7</v>
      </c>
      <c r="E400" s="5" t="s">
        <v>1</v>
      </c>
      <c r="F400" s="5">
        <v>14051</v>
      </c>
      <c r="G400" s="13">
        <f t="shared" si="31"/>
        <v>8.910916205297971E-2</v>
      </c>
      <c r="H400" s="5"/>
    </row>
    <row r="401" spans="2:8" ht="22.5" customHeight="1">
      <c r="B401" s="11">
        <v>94</v>
      </c>
      <c r="C401" s="5" t="s">
        <v>20</v>
      </c>
      <c r="D401" s="5" t="s">
        <v>7</v>
      </c>
      <c r="E401" s="5" t="s">
        <v>1</v>
      </c>
      <c r="F401" s="5">
        <v>29608</v>
      </c>
      <c r="G401" s="13">
        <f t="shared" si="31"/>
        <v>0.18776913173899532</v>
      </c>
      <c r="H401" s="5"/>
    </row>
    <row r="402" spans="2:8" ht="22.5" customHeight="1">
      <c r="B402" s="11">
        <v>95</v>
      </c>
      <c r="C402" s="5" t="s">
        <v>20</v>
      </c>
      <c r="D402" s="5" t="s">
        <v>7</v>
      </c>
      <c r="E402" s="5" t="s">
        <v>1</v>
      </c>
      <c r="F402" s="5">
        <v>11441</v>
      </c>
      <c r="G402" s="13">
        <f t="shared" si="31"/>
        <v>7.2556965557479244E-2</v>
      </c>
      <c r="H402" s="5"/>
    </row>
    <row r="403" spans="2:8" ht="22.5" customHeight="1">
      <c r="B403" s="11">
        <v>96</v>
      </c>
      <c r="C403" s="5" t="s">
        <v>20</v>
      </c>
      <c r="D403" s="5" t="s">
        <v>7</v>
      </c>
      <c r="E403" s="5" t="s">
        <v>1</v>
      </c>
      <c r="F403" s="5">
        <v>24194</v>
      </c>
      <c r="G403" s="13">
        <f t="shared" si="31"/>
        <v>0.1534344222268729</v>
      </c>
      <c r="H403" s="5"/>
    </row>
    <row r="404" spans="2:8" ht="22.5" customHeight="1">
      <c r="B404" s="11">
        <v>97</v>
      </c>
      <c r="C404" s="5" t="s">
        <v>20</v>
      </c>
      <c r="D404" s="5" t="s">
        <v>7</v>
      </c>
      <c r="E404" s="5" t="s">
        <v>1</v>
      </c>
      <c r="F404" s="5">
        <v>30751</v>
      </c>
      <c r="G404" s="13">
        <f t="shared" si="31"/>
        <v>0.19501785227323173</v>
      </c>
      <c r="H404" s="5"/>
    </row>
    <row r="405" spans="2:8" ht="22.5" customHeight="1">
      <c r="B405" s="11">
        <v>98</v>
      </c>
      <c r="C405" s="5" t="s">
        <v>20</v>
      </c>
      <c r="D405" s="5" t="s">
        <v>7</v>
      </c>
      <c r="E405" s="5" t="s">
        <v>1</v>
      </c>
      <c r="F405" s="5">
        <v>15017</v>
      </c>
      <c r="G405" s="13">
        <f t="shared" si="31"/>
        <v>9.5235377307636204E-2</v>
      </c>
      <c r="H405" s="5"/>
    </row>
    <row r="406" spans="2:8" ht="22.5" customHeight="1">
      <c r="B406" s="11">
        <v>99</v>
      </c>
      <c r="C406" s="5" t="s">
        <v>19</v>
      </c>
      <c r="D406" s="5" t="s">
        <v>7</v>
      </c>
      <c r="E406" s="5" t="s">
        <v>1</v>
      </c>
      <c r="F406" s="5">
        <v>27267</v>
      </c>
      <c r="G406" s="13">
        <f t="shared" si="31"/>
        <v>0.17292288959494681</v>
      </c>
      <c r="H406" s="5"/>
    </row>
    <row r="407" spans="2:8" ht="22.5" customHeight="1">
      <c r="B407" s="12">
        <v>11</v>
      </c>
      <c r="C407" s="5" t="s">
        <v>17</v>
      </c>
      <c r="D407" s="5" t="s">
        <v>17</v>
      </c>
      <c r="E407" s="5" t="s">
        <v>17</v>
      </c>
      <c r="F407" s="5">
        <v>14507</v>
      </c>
      <c r="G407" s="13">
        <f t="shared" si="31"/>
        <v>9.2001040061388983E-2</v>
      </c>
      <c r="H407" s="5"/>
    </row>
    <row r="408" spans="2:8" ht="22.5" customHeight="1">
      <c r="B408" s="12">
        <v>12</v>
      </c>
      <c r="C408" s="5" t="s">
        <v>17</v>
      </c>
      <c r="D408" s="5" t="s">
        <v>17</v>
      </c>
      <c r="E408" s="5" t="s">
        <v>17</v>
      </c>
      <c r="F408" s="5">
        <v>24549</v>
      </c>
      <c r="G408" s="13">
        <f t="shared" si="31"/>
        <v>0.15568577462377048</v>
      </c>
      <c r="H408" s="5"/>
    </row>
    <row r="409" spans="2:8" ht="22.5" customHeight="1">
      <c r="B409" s="12">
        <v>13</v>
      </c>
      <c r="C409" s="5" t="s">
        <v>17</v>
      </c>
      <c r="D409" s="5" t="s">
        <v>17</v>
      </c>
      <c r="E409" s="5" t="s">
        <v>17</v>
      </c>
      <c r="F409" s="5">
        <v>32785</v>
      </c>
      <c r="G409" s="13">
        <f t="shared" si="31"/>
        <v>0.20791715023179416</v>
      </c>
      <c r="H409" s="5"/>
    </row>
    <row r="410" spans="2:8" ht="22.5" customHeight="1">
      <c r="B410" s="12">
        <v>14</v>
      </c>
      <c r="C410" s="5" t="s">
        <v>17</v>
      </c>
      <c r="D410" s="5" t="s">
        <v>17</v>
      </c>
      <c r="E410" s="5" t="s">
        <v>17</v>
      </c>
      <c r="F410" s="5">
        <v>29105</v>
      </c>
      <c r="G410" s="13">
        <f t="shared" si="31"/>
        <v>0.18457918735691228</v>
      </c>
      <c r="H410" s="5"/>
    </row>
    <row r="411" spans="2:8" ht="22.5" customHeight="1">
      <c r="B411" s="12">
        <v>15</v>
      </c>
      <c r="C411" s="5" t="s">
        <v>17</v>
      </c>
      <c r="D411" s="5" t="s">
        <v>17</v>
      </c>
      <c r="E411" s="5" t="s">
        <v>17</v>
      </c>
      <c r="F411" s="5">
        <v>15532</v>
      </c>
      <c r="G411" s="13">
        <f t="shared" si="31"/>
        <v>9.850142374257212E-2</v>
      </c>
      <c r="H411" s="5"/>
    </row>
    <row r="412" spans="2:8" ht="22.5" customHeight="1">
      <c r="B412" s="12">
        <v>16</v>
      </c>
      <c r="C412" s="5" t="s">
        <v>17</v>
      </c>
      <c r="D412" s="5" t="s">
        <v>17</v>
      </c>
      <c r="E412" s="5" t="s">
        <v>17</v>
      </c>
      <c r="F412" s="5">
        <v>17018</v>
      </c>
      <c r="G412" s="13">
        <f t="shared" si="31"/>
        <v>0.10792539462085324</v>
      </c>
      <c r="H412" s="5"/>
    </row>
    <row r="413" spans="2:8" ht="22.5" customHeight="1">
      <c r="B413" s="12">
        <v>17</v>
      </c>
      <c r="C413" s="5" t="s">
        <v>17</v>
      </c>
      <c r="D413" s="5" t="s">
        <v>17</v>
      </c>
      <c r="E413" s="5" t="s">
        <v>17</v>
      </c>
      <c r="F413" s="5">
        <v>33432</v>
      </c>
      <c r="G413" s="13">
        <f t="shared" si="31"/>
        <v>0.21202031924811171</v>
      </c>
      <c r="H413" s="5"/>
    </row>
    <row r="414" spans="2:8" ht="22.5" customHeight="1">
      <c r="B414" s="12">
        <v>18</v>
      </c>
      <c r="C414" s="5" t="s">
        <v>17</v>
      </c>
      <c r="D414" s="5" t="s">
        <v>17</v>
      </c>
      <c r="E414" s="5" t="s">
        <v>17</v>
      </c>
      <c r="F414" s="5">
        <v>30004</v>
      </c>
      <c r="G414" s="13">
        <f t="shared" si="31"/>
        <v>0.19028049948314021</v>
      </c>
      <c r="H414" s="5"/>
    </row>
    <row r="415" spans="2:8" ht="22.5" customHeight="1">
      <c r="B415" s="12">
        <v>19</v>
      </c>
      <c r="C415" s="5" t="s">
        <v>17</v>
      </c>
      <c r="D415" s="5" t="s">
        <v>17</v>
      </c>
      <c r="E415" s="5" t="s">
        <v>17</v>
      </c>
      <c r="F415" s="5">
        <v>27425</v>
      </c>
      <c r="G415" s="13">
        <f t="shared" si="31"/>
        <v>0.17392489995750968</v>
      </c>
      <c r="H415" s="5"/>
    </row>
    <row r="416" spans="2:8" ht="22.5" customHeight="1">
      <c r="B416" s="12">
        <v>21</v>
      </c>
      <c r="C416" s="5" t="s">
        <v>17</v>
      </c>
      <c r="D416" s="5" t="s">
        <v>17</v>
      </c>
      <c r="E416" s="5" t="s">
        <v>17</v>
      </c>
      <c r="F416" s="5">
        <v>20154</v>
      </c>
      <c r="G416" s="13">
        <f t="shared" si="31"/>
        <v>0.12781339776640474</v>
      </c>
      <c r="H416" s="5"/>
    </row>
    <row r="417" spans="2:8" ht="22.5" customHeight="1">
      <c r="B417" s="12">
        <v>22</v>
      </c>
      <c r="C417" s="5" t="s">
        <v>17</v>
      </c>
      <c r="D417" s="5" t="s">
        <v>17</v>
      </c>
      <c r="E417" s="5" t="s">
        <v>17</v>
      </c>
      <c r="F417" s="5">
        <v>20008</v>
      </c>
      <c r="G417" s="13">
        <f t="shared" si="31"/>
        <v>0.12688748945669476</v>
      </c>
      <c r="H417" s="5"/>
    </row>
    <row r="418" spans="2:8" ht="22.5" customHeight="1">
      <c r="B418" s="12">
        <v>23</v>
      </c>
      <c r="C418" s="5" t="s">
        <v>17</v>
      </c>
      <c r="D418" s="5" t="s">
        <v>17</v>
      </c>
      <c r="E418" s="5" t="s">
        <v>17</v>
      </c>
      <c r="F418" s="5">
        <v>19833</v>
      </c>
      <c r="G418" s="13">
        <f t="shared" si="31"/>
        <v>0.12577766785259031</v>
      </c>
      <c r="H418" s="5"/>
    </row>
    <row r="419" spans="2:8" ht="22.5" customHeight="1">
      <c r="B419" s="12">
        <v>24</v>
      </c>
      <c r="C419" s="5" t="s">
        <v>17</v>
      </c>
      <c r="D419" s="5" t="s">
        <v>17</v>
      </c>
      <c r="E419" s="5" t="s">
        <v>17</v>
      </c>
      <c r="F419" s="5">
        <v>19506</v>
      </c>
      <c r="G419" s="13">
        <f t="shared" si="31"/>
        <v>0.12370388691234946</v>
      </c>
      <c r="H419" s="5"/>
    </row>
    <row r="420" spans="2:8" ht="22.5" customHeight="1">
      <c r="B420" s="12">
        <v>25</v>
      </c>
      <c r="C420" s="5" t="s">
        <v>17</v>
      </c>
      <c r="D420" s="5" t="s">
        <v>17</v>
      </c>
      <c r="E420" s="5" t="s">
        <v>17</v>
      </c>
      <c r="F420" s="5">
        <v>13665</v>
      </c>
      <c r="G420" s="13">
        <f t="shared" si="31"/>
        <v>8.6661212686212213E-2</v>
      </c>
      <c r="H420" s="5"/>
    </row>
    <row r="421" spans="2:8" ht="22.5" customHeight="1">
      <c r="B421" s="12">
        <v>26</v>
      </c>
      <c r="C421" s="5" t="s">
        <v>17</v>
      </c>
      <c r="D421" s="5" t="s">
        <v>17</v>
      </c>
      <c r="E421" s="5" t="s">
        <v>17</v>
      </c>
      <c r="F421" s="5">
        <v>18525</v>
      </c>
      <c r="G421" s="13">
        <f t="shared" si="31"/>
        <v>0.11748254409162687</v>
      </c>
      <c r="H421" s="5"/>
    </row>
    <row r="422" spans="2:8" ht="22.5" customHeight="1">
      <c r="B422" s="12">
        <v>27</v>
      </c>
      <c r="C422" s="5" t="s">
        <v>17</v>
      </c>
      <c r="D422" s="5" t="s">
        <v>17</v>
      </c>
      <c r="E422" s="5" t="s">
        <v>17</v>
      </c>
      <c r="F422" s="5">
        <v>14016</v>
      </c>
      <c r="G422" s="13">
        <f t="shared" si="31"/>
        <v>8.8887197732158821E-2</v>
      </c>
      <c r="H422" s="5"/>
    </row>
    <row r="423" spans="2:8" ht="22.5" customHeight="1">
      <c r="B423" s="12">
        <v>28</v>
      </c>
      <c r="C423" s="5" t="s">
        <v>17</v>
      </c>
      <c r="D423" s="5" t="s">
        <v>17</v>
      </c>
      <c r="E423" s="5" t="s">
        <v>17</v>
      </c>
      <c r="F423" s="5">
        <v>30963</v>
      </c>
      <c r="G423" s="13">
        <f t="shared" si="31"/>
        <v>0.19636232187363253</v>
      </c>
      <c r="H423" s="5"/>
    </row>
    <row r="424" spans="2:8" ht="22.5" customHeight="1">
      <c r="B424" s="12">
        <v>29</v>
      </c>
      <c r="C424" s="5" t="s">
        <v>17</v>
      </c>
      <c r="D424" s="5" t="s">
        <v>17</v>
      </c>
      <c r="E424" s="5" t="s">
        <v>17</v>
      </c>
      <c r="F424" s="5">
        <v>32405</v>
      </c>
      <c r="G424" s="13">
        <f t="shared" si="31"/>
        <v>0.20550725189145311</v>
      </c>
      <c r="H424" s="5"/>
    </row>
    <row r="425" spans="2:8" ht="22.5" customHeight="1">
      <c r="B425" s="12">
        <v>31</v>
      </c>
      <c r="C425" s="5" t="s">
        <v>17</v>
      </c>
      <c r="D425" s="5" t="s">
        <v>17</v>
      </c>
      <c r="E425" s="5" t="s">
        <v>17</v>
      </c>
      <c r="F425" s="5">
        <v>21302</v>
      </c>
      <c r="G425" s="13">
        <f t="shared" si="31"/>
        <v>0.13509382748932985</v>
      </c>
      <c r="H425" s="5"/>
    </row>
    <row r="426" spans="2:8" ht="22.5" customHeight="1">
      <c r="B426" s="12">
        <v>32</v>
      </c>
      <c r="C426" s="5" t="s">
        <v>17</v>
      </c>
      <c r="D426" s="5" t="s">
        <v>17</v>
      </c>
      <c r="E426" s="5" t="s">
        <v>17</v>
      </c>
      <c r="F426" s="5">
        <v>14303</v>
      </c>
      <c r="G426" s="13">
        <f t="shared" si="31"/>
        <v>9.0707305162890106E-2</v>
      </c>
      <c r="H426" s="5"/>
    </row>
    <row r="427" spans="2:8" ht="22.5" customHeight="1">
      <c r="B427" s="12">
        <v>33</v>
      </c>
      <c r="C427" s="5" t="s">
        <v>17</v>
      </c>
      <c r="D427" s="5" t="s">
        <v>17</v>
      </c>
      <c r="E427" s="5" t="s">
        <v>17</v>
      </c>
      <c r="F427" s="5">
        <v>18198</v>
      </c>
      <c r="G427" s="13">
        <f t="shared" si="31"/>
        <v>0.11540876315138601</v>
      </c>
      <c r="H427" s="5"/>
    </row>
    <row r="428" spans="2:8" ht="22.5" customHeight="1">
      <c r="B428" s="12">
        <v>34</v>
      </c>
      <c r="C428" s="5" t="s">
        <v>17</v>
      </c>
      <c r="D428" s="5" t="s">
        <v>17</v>
      </c>
      <c r="E428" s="5" t="s">
        <v>17</v>
      </c>
      <c r="F428" s="5">
        <v>12381</v>
      </c>
      <c r="G428" s="13">
        <f t="shared" si="31"/>
        <v>7.8518293030954506E-2</v>
      </c>
      <c r="H428" s="5"/>
    </row>
    <row r="429" spans="2:8" ht="22.5" customHeight="1">
      <c r="B429" s="12">
        <v>35</v>
      </c>
      <c r="C429" s="5" t="s">
        <v>17</v>
      </c>
      <c r="D429" s="5" t="s">
        <v>17</v>
      </c>
      <c r="E429" s="5" t="s">
        <v>17</v>
      </c>
      <c r="F429" s="5">
        <v>25475</v>
      </c>
      <c r="G429" s="13">
        <f t="shared" si="31"/>
        <v>0.16155831636891738</v>
      </c>
      <c r="H429" s="5"/>
    </row>
    <row r="430" spans="2:8" ht="22.5" customHeight="1">
      <c r="B430" s="12">
        <v>36</v>
      </c>
      <c r="C430" s="5" t="s">
        <v>17</v>
      </c>
      <c r="D430" s="5" t="s">
        <v>17</v>
      </c>
      <c r="E430" s="5" t="s">
        <v>17</v>
      </c>
      <c r="F430" s="5">
        <v>13795</v>
      </c>
      <c r="G430" s="13">
        <f t="shared" si="31"/>
        <v>8.7485651592118366E-2</v>
      </c>
      <c r="H430" s="5"/>
    </row>
    <row r="431" spans="2:8" ht="22.5" customHeight="1">
      <c r="B431" s="12">
        <v>37</v>
      </c>
      <c r="C431" s="5" t="s">
        <v>17</v>
      </c>
      <c r="D431" s="5" t="s">
        <v>17</v>
      </c>
      <c r="E431" s="5" t="s">
        <v>17</v>
      </c>
      <c r="F431" s="5">
        <v>23003</v>
      </c>
      <c r="G431" s="13">
        <f t="shared" si="31"/>
        <v>0.145881293481225</v>
      </c>
      <c r="H431" s="5"/>
    </row>
    <row r="432" spans="2:8" ht="22.5" customHeight="1">
      <c r="B432" s="12">
        <v>38</v>
      </c>
      <c r="C432" s="5" t="s">
        <v>17</v>
      </c>
      <c r="D432" s="5" t="s">
        <v>17</v>
      </c>
      <c r="E432" s="5" t="s">
        <v>17</v>
      </c>
      <c r="F432" s="5">
        <v>8730</v>
      </c>
      <c r="G432" s="13">
        <f t="shared" si="31"/>
        <v>5.5364243450467074E-2</v>
      </c>
      <c r="H432" s="5"/>
    </row>
    <row r="433" spans="2:8" ht="22.5" customHeight="1">
      <c r="B433" s="12">
        <v>39</v>
      </c>
      <c r="C433" s="5" t="s">
        <v>17</v>
      </c>
      <c r="D433" s="5" t="s">
        <v>17</v>
      </c>
      <c r="E433" s="5" t="s">
        <v>17</v>
      </c>
      <c r="F433" s="5">
        <v>14950</v>
      </c>
      <c r="G433" s="13">
        <f t="shared" si="31"/>
        <v>9.4810474179207654E-2</v>
      </c>
      <c r="H433" s="5"/>
    </row>
    <row r="434" spans="2:8" ht="22.5" customHeight="1">
      <c r="B434" s="12">
        <v>41</v>
      </c>
      <c r="C434" s="5" t="s">
        <v>17</v>
      </c>
      <c r="D434" s="5" t="s">
        <v>17</v>
      </c>
      <c r="E434" s="5" t="s">
        <v>17</v>
      </c>
      <c r="F434" s="5">
        <v>12413</v>
      </c>
      <c r="G434" s="13">
        <f t="shared" si="31"/>
        <v>7.8721231838562181E-2</v>
      </c>
      <c r="H434" s="5"/>
    </row>
    <row r="435" spans="2:8" ht="22.5" customHeight="1">
      <c r="B435" s="12">
        <v>42</v>
      </c>
      <c r="C435" s="5" t="s">
        <v>17</v>
      </c>
      <c r="D435" s="5" t="s">
        <v>17</v>
      </c>
      <c r="E435" s="5" t="s">
        <v>17</v>
      </c>
      <c r="F435" s="5">
        <v>13566</v>
      </c>
      <c r="G435" s="13">
        <f t="shared" si="31"/>
        <v>8.6033370750175989E-2</v>
      </c>
      <c r="H435" s="5"/>
    </row>
    <row r="436" spans="2:8" ht="22.5" customHeight="1">
      <c r="B436" s="12">
        <v>43</v>
      </c>
      <c r="C436" s="5" t="s">
        <v>17</v>
      </c>
      <c r="D436" s="5" t="s">
        <v>17</v>
      </c>
      <c r="E436" s="5" t="s">
        <v>17</v>
      </c>
      <c r="F436" s="5">
        <v>7910</v>
      </c>
      <c r="G436" s="13">
        <f t="shared" si="31"/>
        <v>5.0163936505520569E-2</v>
      </c>
      <c r="H436" s="5"/>
    </row>
    <row r="437" spans="2:8" ht="22.5" customHeight="1">
      <c r="B437" s="12">
        <v>44</v>
      </c>
      <c r="C437" s="5" t="s">
        <v>17</v>
      </c>
      <c r="D437" s="5" t="s">
        <v>17</v>
      </c>
      <c r="E437" s="5" t="s">
        <v>17</v>
      </c>
      <c r="F437" s="5">
        <v>9685</v>
      </c>
      <c r="G437" s="13">
        <f t="shared" si="31"/>
        <v>6.1420698490008432E-2</v>
      </c>
      <c r="H437" s="5"/>
    </row>
    <row r="438" spans="2:8" ht="22.5" customHeight="1">
      <c r="B438" s="12">
        <v>45</v>
      </c>
      <c r="C438" s="5" t="s">
        <v>17</v>
      </c>
      <c r="D438" s="5" t="s">
        <v>17</v>
      </c>
      <c r="E438" s="5" t="s">
        <v>17</v>
      </c>
      <c r="F438" s="5">
        <v>12162</v>
      </c>
      <c r="G438" s="13">
        <f t="shared" si="31"/>
        <v>7.7129430566389531E-2</v>
      </c>
      <c r="H438" s="5"/>
    </row>
    <row r="439" spans="2:8" ht="22.5" customHeight="1">
      <c r="B439" s="12">
        <v>46</v>
      </c>
      <c r="C439" s="5" t="s">
        <v>17</v>
      </c>
      <c r="D439" s="5" t="s">
        <v>17</v>
      </c>
      <c r="E439" s="5" t="s">
        <v>17</v>
      </c>
      <c r="F439" s="5">
        <v>17379</v>
      </c>
      <c r="G439" s="13">
        <f t="shared" si="31"/>
        <v>0.11021479804417725</v>
      </c>
      <c r="H439" s="5"/>
    </row>
    <row r="440" spans="2:8" ht="22.5" customHeight="1">
      <c r="B440" s="12">
        <v>47</v>
      </c>
      <c r="C440" s="5" t="s">
        <v>17</v>
      </c>
      <c r="D440" s="5" t="s">
        <v>17</v>
      </c>
      <c r="E440" s="5" t="s">
        <v>17</v>
      </c>
      <c r="F440" s="5">
        <v>22699</v>
      </c>
      <c r="G440" s="13">
        <f t="shared" si="31"/>
        <v>0.14395337480895215</v>
      </c>
      <c r="H440" s="5"/>
    </row>
    <row r="441" spans="2:8" ht="22.5" customHeight="1">
      <c r="B441" s="12">
        <v>48</v>
      </c>
      <c r="C441" s="5" t="s">
        <v>17</v>
      </c>
      <c r="D441" s="5" t="s">
        <v>17</v>
      </c>
      <c r="E441" s="5" t="s">
        <v>17</v>
      </c>
      <c r="F441" s="5">
        <v>18847</v>
      </c>
      <c r="G441" s="13">
        <f t="shared" si="31"/>
        <v>0.11952461584317904</v>
      </c>
      <c r="H441" s="5"/>
    </row>
    <row r="442" spans="2:8" ht="22.5" customHeight="1">
      <c r="B442" s="12">
        <v>49</v>
      </c>
      <c r="C442" s="5" t="s">
        <v>17</v>
      </c>
      <c r="D442" s="5" t="s">
        <v>17</v>
      </c>
      <c r="E442" s="5" t="s">
        <v>17</v>
      </c>
      <c r="F442" s="5">
        <v>22589</v>
      </c>
      <c r="G442" s="13">
        <f t="shared" si="31"/>
        <v>0.14325577265780079</v>
      </c>
      <c r="H442" s="5"/>
    </row>
    <row r="443" spans="2:8" ht="22.5" customHeight="1">
      <c r="B443" s="12">
        <v>51</v>
      </c>
      <c r="C443" s="5" t="s">
        <v>17</v>
      </c>
      <c r="D443" s="5" t="s">
        <v>17</v>
      </c>
      <c r="E443" s="5" t="s">
        <v>17</v>
      </c>
      <c r="F443" s="5">
        <v>14496</v>
      </c>
      <c r="G443" s="13">
        <f t="shared" si="31"/>
        <v>9.1931279846273847E-2</v>
      </c>
      <c r="H443" s="5"/>
    </row>
    <row r="444" spans="2:8" ht="22.5" customHeight="1">
      <c r="B444" s="12">
        <v>52</v>
      </c>
      <c r="C444" s="5" t="s">
        <v>17</v>
      </c>
      <c r="D444" s="5" t="s">
        <v>17</v>
      </c>
      <c r="E444" s="5" t="s">
        <v>17</v>
      </c>
      <c r="F444" s="5">
        <v>17386</v>
      </c>
      <c r="G444" s="13">
        <f t="shared" si="31"/>
        <v>0.11025919090834142</v>
      </c>
      <c r="H444" s="5"/>
    </row>
    <row r="445" spans="2:8" ht="22.5" customHeight="1">
      <c r="B445" s="12">
        <v>53</v>
      </c>
      <c r="C445" s="5" t="s">
        <v>17</v>
      </c>
      <c r="D445" s="5" t="s">
        <v>17</v>
      </c>
      <c r="E445" s="5" t="s">
        <v>17</v>
      </c>
      <c r="F445" s="5">
        <v>8981</v>
      </c>
      <c r="G445" s="13">
        <f t="shared" si="31"/>
        <v>5.6956044722639723E-2</v>
      </c>
      <c r="H445" s="5"/>
    </row>
    <row r="446" spans="2:8" ht="22.5" customHeight="1">
      <c r="B446" s="12">
        <v>54</v>
      </c>
      <c r="C446" s="5" t="s">
        <v>17</v>
      </c>
      <c r="D446" s="5" t="s">
        <v>17</v>
      </c>
      <c r="E446" s="5" t="s">
        <v>17</v>
      </c>
      <c r="F446" s="5">
        <v>7503</v>
      </c>
      <c r="G446" s="13">
        <f t="shared" si="31"/>
        <v>4.7582808546260534E-2</v>
      </c>
      <c r="H446" s="5"/>
    </row>
    <row r="447" spans="2:8" ht="22.5" customHeight="1">
      <c r="B447" s="12">
        <v>55</v>
      </c>
      <c r="C447" s="5" t="s">
        <v>17</v>
      </c>
      <c r="D447" s="5" t="s">
        <v>17</v>
      </c>
      <c r="E447" s="5" t="s">
        <v>17</v>
      </c>
      <c r="F447" s="5">
        <v>18372</v>
      </c>
      <c r="G447" s="13">
        <f t="shared" si="31"/>
        <v>0.11651224291775271</v>
      </c>
      <c r="H447" s="5"/>
    </row>
    <row r="448" spans="2:8" ht="22.5" customHeight="1">
      <c r="B448" s="12">
        <v>56</v>
      </c>
      <c r="C448" s="5" t="s">
        <v>17</v>
      </c>
      <c r="D448" s="5" t="s">
        <v>17</v>
      </c>
      <c r="E448" s="5" t="s">
        <v>17</v>
      </c>
      <c r="F448" s="5">
        <v>14414</v>
      </c>
      <c r="G448" s="13">
        <f t="shared" si="31"/>
        <v>9.14112491517792E-2</v>
      </c>
      <c r="H448" s="5"/>
    </row>
    <row r="449" spans="2:8" ht="22.5" customHeight="1">
      <c r="B449" s="12">
        <v>57</v>
      </c>
      <c r="C449" s="5" t="s">
        <v>17</v>
      </c>
      <c r="D449" s="5" t="s">
        <v>17</v>
      </c>
      <c r="E449" s="5" t="s">
        <v>17</v>
      </c>
      <c r="F449" s="5">
        <v>26269</v>
      </c>
      <c r="G449" s="13">
        <f t="shared" si="31"/>
        <v>0.16659373553268267</v>
      </c>
      <c r="H449" s="5"/>
    </row>
    <row r="450" spans="2:8" ht="22.5" customHeight="1">
      <c r="B450" s="12">
        <v>58</v>
      </c>
      <c r="C450" s="5" t="s">
        <v>17</v>
      </c>
      <c r="D450" s="5" t="s">
        <v>17</v>
      </c>
      <c r="E450" s="5" t="s">
        <v>17</v>
      </c>
      <c r="F450" s="5">
        <v>10236</v>
      </c>
      <c r="G450" s="13">
        <f t="shared" si="31"/>
        <v>6.4915051083502984E-2</v>
      </c>
      <c r="H450" s="5"/>
    </row>
    <row r="451" spans="2:8" ht="22.5" customHeight="1">
      <c r="B451" s="12">
        <v>59</v>
      </c>
      <c r="C451" s="5" t="s">
        <v>17</v>
      </c>
      <c r="D451" s="5" t="s">
        <v>17</v>
      </c>
      <c r="E451" s="5" t="s">
        <v>17</v>
      </c>
      <c r="F451" s="5">
        <v>36429</v>
      </c>
      <c r="G451" s="13">
        <f t="shared" ref="G451:G487" si="32">F451/$W$2</f>
        <v>0.23102680694811742</v>
      </c>
      <c r="H451" s="5"/>
    </row>
    <row r="452" spans="2:8" ht="22.5" customHeight="1">
      <c r="B452" s="12">
        <v>61</v>
      </c>
      <c r="C452" s="5" t="s">
        <v>17</v>
      </c>
      <c r="D452" s="5" t="s">
        <v>17</v>
      </c>
      <c r="E452" s="5" t="s">
        <v>17</v>
      </c>
      <c r="F452" s="5">
        <v>19889</v>
      </c>
      <c r="G452" s="13">
        <f t="shared" si="32"/>
        <v>0.12613281076590374</v>
      </c>
      <c r="H452" s="5"/>
    </row>
    <row r="453" spans="2:8" ht="22.5" customHeight="1">
      <c r="B453" s="12">
        <v>62</v>
      </c>
      <c r="C453" s="5" t="s">
        <v>17</v>
      </c>
      <c r="D453" s="5" t="s">
        <v>17</v>
      </c>
      <c r="E453" s="5" t="s">
        <v>17</v>
      </c>
      <c r="F453" s="5">
        <v>43175</v>
      </c>
      <c r="G453" s="13">
        <f t="shared" si="32"/>
        <v>0.27380884432690905</v>
      </c>
      <c r="H453" s="5"/>
    </row>
    <row r="454" spans="2:8" ht="22.5" customHeight="1">
      <c r="B454" s="12">
        <v>63</v>
      </c>
      <c r="C454" s="5" t="s">
        <v>17</v>
      </c>
      <c r="D454" s="5" t="s">
        <v>17</v>
      </c>
      <c r="E454" s="5" t="s">
        <v>17</v>
      </c>
      <c r="F454" s="5">
        <v>14716</v>
      </c>
      <c r="G454" s="13">
        <f t="shared" si="32"/>
        <v>9.3326484148576569E-2</v>
      </c>
      <c r="H454" s="5"/>
    </row>
    <row r="455" spans="2:8" ht="22.5" customHeight="1">
      <c r="B455" s="12">
        <v>64</v>
      </c>
      <c r="C455" s="5" t="s">
        <v>17</v>
      </c>
      <c r="D455" s="5" t="s">
        <v>17</v>
      </c>
      <c r="E455" s="5" t="s">
        <v>17</v>
      </c>
      <c r="F455" s="5">
        <v>15401</v>
      </c>
      <c r="G455" s="13">
        <f t="shared" si="32"/>
        <v>9.7670642998928234E-2</v>
      </c>
      <c r="H455" s="5"/>
    </row>
    <row r="456" spans="2:8" ht="22.5" customHeight="1">
      <c r="B456" s="12">
        <v>65</v>
      </c>
      <c r="C456" s="5" t="s">
        <v>17</v>
      </c>
      <c r="D456" s="5" t="s">
        <v>17</v>
      </c>
      <c r="E456" s="5" t="s">
        <v>17</v>
      </c>
      <c r="F456" s="5">
        <v>13894</v>
      </c>
      <c r="G456" s="13">
        <f t="shared" si="32"/>
        <v>8.8113493528154591E-2</v>
      </c>
      <c r="H456" s="5"/>
    </row>
    <row r="457" spans="2:8" ht="22.5" customHeight="1">
      <c r="B457" s="12">
        <v>66</v>
      </c>
      <c r="C457" s="5" t="s">
        <v>17</v>
      </c>
      <c r="D457" s="5" t="s">
        <v>17</v>
      </c>
      <c r="E457" s="5" t="s">
        <v>17</v>
      </c>
      <c r="F457" s="5">
        <v>29700</v>
      </c>
      <c r="G457" s="13">
        <f t="shared" si="32"/>
        <v>0.18835258081086736</v>
      </c>
      <c r="H457" s="5"/>
    </row>
    <row r="458" spans="2:8" ht="22.5" customHeight="1">
      <c r="B458" s="12">
        <v>67</v>
      </c>
      <c r="C458" s="5" t="s">
        <v>17</v>
      </c>
      <c r="D458" s="5" t="s">
        <v>17</v>
      </c>
      <c r="E458" s="5" t="s">
        <v>17</v>
      </c>
      <c r="F458" s="5">
        <v>27853</v>
      </c>
      <c r="G458" s="13">
        <f t="shared" si="32"/>
        <v>0.17663920650926226</v>
      </c>
      <c r="H458" s="5"/>
    </row>
    <row r="459" spans="2:8" ht="22.5" customHeight="1">
      <c r="B459" s="12">
        <v>68</v>
      </c>
      <c r="C459" s="5" t="s">
        <v>17</v>
      </c>
      <c r="D459" s="5" t="s">
        <v>17</v>
      </c>
      <c r="E459" s="5" t="s">
        <v>17</v>
      </c>
      <c r="F459" s="5">
        <v>16672</v>
      </c>
      <c r="G459" s="13">
        <f t="shared" si="32"/>
        <v>0.10573111876359531</v>
      </c>
      <c r="H459" s="5"/>
    </row>
    <row r="460" spans="2:8" ht="22.5" customHeight="1">
      <c r="B460" s="12">
        <v>69</v>
      </c>
      <c r="C460" s="5" t="s">
        <v>17</v>
      </c>
      <c r="D460" s="5" t="s">
        <v>17</v>
      </c>
      <c r="E460" s="5" t="s">
        <v>17</v>
      </c>
      <c r="F460" s="5">
        <v>27866</v>
      </c>
      <c r="G460" s="13">
        <f t="shared" si="32"/>
        <v>0.17672165039985288</v>
      </c>
      <c r="H460" s="5"/>
    </row>
    <row r="461" spans="2:8" ht="22.5" customHeight="1">
      <c r="B461" s="12">
        <v>71</v>
      </c>
      <c r="C461" s="5" t="s">
        <v>17</v>
      </c>
      <c r="D461" s="5" t="s">
        <v>17</v>
      </c>
      <c r="E461" s="5" t="s">
        <v>17</v>
      </c>
      <c r="F461" s="5">
        <v>11186</v>
      </c>
      <c r="G461" s="13">
        <f t="shared" si="32"/>
        <v>7.0939796934355634E-2</v>
      </c>
      <c r="H461" s="5"/>
    </row>
    <row r="462" spans="2:8" ht="22.5" customHeight="1">
      <c r="B462" s="12">
        <v>72</v>
      </c>
      <c r="C462" s="5" t="s">
        <v>17</v>
      </c>
      <c r="D462" s="5" t="s">
        <v>17</v>
      </c>
      <c r="E462" s="5" t="s">
        <v>17</v>
      </c>
      <c r="F462" s="5">
        <v>13184</v>
      </c>
      <c r="G462" s="13">
        <f t="shared" si="32"/>
        <v>8.361078873435944E-2</v>
      </c>
      <c r="H462" s="5"/>
    </row>
    <row r="463" spans="2:8" ht="22.5" customHeight="1">
      <c r="B463" s="12">
        <v>73</v>
      </c>
      <c r="C463" s="5" t="s">
        <v>17</v>
      </c>
      <c r="D463" s="5" t="s">
        <v>17</v>
      </c>
      <c r="E463" s="5" t="s">
        <v>17</v>
      </c>
      <c r="F463" s="5">
        <v>17180</v>
      </c>
      <c r="G463" s="13">
        <f t="shared" si="32"/>
        <v>0.10895277233436705</v>
      </c>
      <c r="H463" s="5"/>
    </row>
    <row r="464" spans="2:8" ht="22.5" customHeight="1">
      <c r="B464" s="12">
        <v>74</v>
      </c>
      <c r="C464" s="5" t="s">
        <v>17</v>
      </c>
      <c r="D464" s="5" t="s">
        <v>17</v>
      </c>
      <c r="E464" s="5" t="s">
        <v>17</v>
      </c>
      <c r="F464" s="5">
        <v>22500</v>
      </c>
      <c r="G464" s="13">
        <f t="shared" si="32"/>
        <v>0.14269134909914194</v>
      </c>
      <c r="H464" s="5"/>
    </row>
    <row r="465" spans="2:8" ht="22.5" customHeight="1">
      <c r="B465" s="12">
        <v>75</v>
      </c>
      <c r="C465" s="5" t="s">
        <v>17</v>
      </c>
      <c r="D465" s="5" t="s">
        <v>17</v>
      </c>
      <c r="E465" s="5" t="s">
        <v>17</v>
      </c>
      <c r="F465" s="5">
        <v>14612</v>
      </c>
      <c r="G465" s="13">
        <f t="shared" si="32"/>
        <v>9.266693302385165E-2</v>
      </c>
      <c r="H465" s="5"/>
    </row>
    <row r="466" spans="2:8" ht="22.5" customHeight="1">
      <c r="B466" s="12">
        <v>76</v>
      </c>
      <c r="C466" s="5" t="s">
        <v>17</v>
      </c>
      <c r="D466" s="5" t="s">
        <v>17</v>
      </c>
      <c r="E466" s="5" t="s">
        <v>17</v>
      </c>
      <c r="F466" s="5">
        <v>14738</v>
      </c>
      <c r="G466" s="13">
        <f t="shared" si="32"/>
        <v>9.3466004578806841E-2</v>
      </c>
      <c r="H466" s="5"/>
    </row>
    <row r="467" spans="2:8" ht="22.5" customHeight="1">
      <c r="B467" s="12">
        <v>77</v>
      </c>
      <c r="C467" s="5" t="s">
        <v>17</v>
      </c>
      <c r="D467" s="5" t="s">
        <v>17</v>
      </c>
      <c r="E467" s="5" t="s">
        <v>17</v>
      </c>
      <c r="F467" s="5">
        <v>15684</v>
      </c>
      <c r="G467" s="13">
        <f t="shared" si="32"/>
        <v>9.9465383078708544E-2</v>
      </c>
      <c r="H467" s="5"/>
    </row>
    <row r="468" spans="2:8" ht="22.5" customHeight="1">
      <c r="B468" s="12">
        <v>78</v>
      </c>
      <c r="C468" s="5" t="s">
        <v>17</v>
      </c>
      <c r="D468" s="5" t="s">
        <v>17</v>
      </c>
      <c r="E468" s="5" t="s">
        <v>17</v>
      </c>
      <c r="F468" s="5">
        <v>10256</v>
      </c>
      <c r="G468" s="13">
        <f t="shared" si="32"/>
        <v>6.5041887838257775E-2</v>
      </c>
      <c r="H468" s="5"/>
    </row>
    <row r="469" spans="2:8" ht="22.5" customHeight="1">
      <c r="B469" s="12">
        <v>79</v>
      </c>
      <c r="C469" s="5" t="s">
        <v>17</v>
      </c>
      <c r="D469" s="5" t="s">
        <v>17</v>
      </c>
      <c r="E469" s="5" t="s">
        <v>17</v>
      </c>
      <c r="F469" s="5">
        <v>5436</v>
      </c>
      <c r="G469" s="13">
        <f t="shared" si="32"/>
        <v>3.4474229942352698E-2</v>
      </c>
      <c r="H469" s="5"/>
    </row>
    <row r="470" spans="2:8" ht="22.5" customHeight="1">
      <c r="B470" s="12">
        <v>81</v>
      </c>
      <c r="C470" s="5" t="s">
        <v>17</v>
      </c>
      <c r="D470" s="5" t="s">
        <v>17</v>
      </c>
      <c r="E470" s="5" t="s">
        <v>17</v>
      </c>
      <c r="F470" s="5">
        <v>16692</v>
      </c>
      <c r="G470" s="13">
        <f t="shared" si="32"/>
        <v>0.1058579555183501</v>
      </c>
      <c r="H470" s="5"/>
    </row>
    <row r="471" spans="2:8" ht="22.5" customHeight="1">
      <c r="B471" s="12">
        <v>82</v>
      </c>
      <c r="C471" s="5" t="s">
        <v>17</v>
      </c>
      <c r="D471" s="5" t="s">
        <v>17</v>
      </c>
      <c r="E471" s="5" t="s">
        <v>17</v>
      </c>
      <c r="F471" s="5">
        <v>23725</v>
      </c>
      <c r="G471" s="13">
        <f t="shared" si="32"/>
        <v>0.15046010032787302</v>
      </c>
      <c r="H471" s="5"/>
    </row>
    <row r="472" spans="2:8" ht="22.5" customHeight="1">
      <c r="B472" s="12">
        <v>83</v>
      </c>
      <c r="C472" s="5" t="s">
        <v>17</v>
      </c>
      <c r="D472" s="5" t="s">
        <v>17</v>
      </c>
      <c r="E472" s="5" t="s">
        <v>17</v>
      </c>
      <c r="F472" s="5">
        <v>28204</v>
      </c>
      <c r="G472" s="13">
        <f t="shared" si="32"/>
        <v>0.17886519155520886</v>
      </c>
      <c r="H472" s="5"/>
    </row>
    <row r="473" spans="2:8" ht="22.5" customHeight="1">
      <c r="B473" s="12">
        <v>84</v>
      </c>
      <c r="C473" s="5" t="s">
        <v>17</v>
      </c>
      <c r="D473" s="5" t="s">
        <v>17</v>
      </c>
      <c r="E473" s="5" t="s">
        <v>17</v>
      </c>
      <c r="F473" s="5">
        <v>31748</v>
      </c>
      <c r="G473" s="13">
        <f t="shared" si="32"/>
        <v>0.20134066449775817</v>
      </c>
      <c r="H473" s="5"/>
    </row>
    <row r="474" spans="2:8" ht="22.5" customHeight="1">
      <c r="B474" s="12">
        <v>85</v>
      </c>
      <c r="C474" s="5" t="s">
        <v>17</v>
      </c>
      <c r="D474" s="5" t="s">
        <v>17</v>
      </c>
      <c r="E474" s="5" t="s">
        <v>17</v>
      </c>
      <c r="F474" s="5">
        <v>23107</v>
      </c>
      <c r="G474" s="13">
        <f t="shared" si="32"/>
        <v>0.1465408446059499</v>
      </c>
      <c r="H474" s="5"/>
    </row>
    <row r="475" spans="2:8" ht="22.5" customHeight="1">
      <c r="B475" s="12">
        <v>86</v>
      </c>
      <c r="C475" s="5" t="s">
        <v>17</v>
      </c>
      <c r="D475" s="5" t="s">
        <v>17</v>
      </c>
      <c r="E475" s="5" t="s">
        <v>17</v>
      </c>
      <c r="F475" s="5">
        <v>12950</v>
      </c>
      <c r="G475" s="13">
        <f t="shared" si="32"/>
        <v>8.2126798703728368E-2</v>
      </c>
      <c r="H475" s="5"/>
    </row>
    <row r="476" spans="2:8" ht="22.5" customHeight="1">
      <c r="B476" s="12">
        <v>87</v>
      </c>
      <c r="C476" s="5" t="s">
        <v>17</v>
      </c>
      <c r="D476" s="5" t="s">
        <v>17</v>
      </c>
      <c r="E476" s="5" t="s">
        <v>17</v>
      </c>
      <c r="F476" s="5">
        <v>25746</v>
      </c>
      <c r="G476" s="13">
        <f t="shared" si="32"/>
        <v>0.16327695439584483</v>
      </c>
      <c r="H476" s="5"/>
    </row>
    <row r="477" spans="2:8" ht="22.5" customHeight="1">
      <c r="B477" s="12">
        <v>88</v>
      </c>
      <c r="C477" s="5" t="s">
        <v>17</v>
      </c>
      <c r="D477" s="5" t="s">
        <v>17</v>
      </c>
      <c r="E477" s="5" t="s">
        <v>17</v>
      </c>
      <c r="F477" s="5">
        <v>18986</v>
      </c>
      <c r="G477" s="13">
        <f t="shared" si="32"/>
        <v>0.12040613128872485</v>
      </c>
      <c r="H477" s="5"/>
    </row>
    <row r="478" spans="2:8" ht="22.5" customHeight="1">
      <c r="B478" s="12">
        <v>89</v>
      </c>
      <c r="C478" s="5" t="s">
        <v>17</v>
      </c>
      <c r="D478" s="5" t="s">
        <v>17</v>
      </c>
      <c r="E478" s="5" t="s">
        <v>17</v>
      </c>
      <c r="F478" s="5">
        <v>26602</v>
      </c>
      <c r="G478" s="13">
        <f t="shared" si="32"/>
        <v>0.16870556749934995</v>
      </c>
      <c r="H478" s="5"/>
    </row>
    <row r="479" spans="2:8" ht="22.5" customHeight="1">
      <c r="B479" s="12">
        <v>91</v>
      </c>
      <c r="C479" s="5" t="s">
        <v>17</v>
      </c>
      <c r="D479" s="5" t="s">
        <v>17</v>
      </c>
      <c r="E479" s="5" t="s">
        <v>17</v>
      </c>
      <c r="F479" s="5">
        <v>27241</v>
      </c>
      <c r="G479" s="13">
        <f t="shared" si="32"/>
        <v>0.1727580018137656</v>
      </c>
      <c r="H479" s="5"/>
    </row>
    <row r="480" spans="2:8" ht="22.5" customHeight="1">
      <c r="B480" s="12">
        <v>92</v>
      </c>
      <c r="C480" s="5" t="s">
        <v>17</v>
      </c>
      <c r="D480" s="5" t="s">
        <v>17</v>
      </c>
      <c r="E480" s="5" t="s">
        <v>17</v>
      </c>
      <c r="F480" s="5">
        <v>34886</v>
      </c>
      <c r="G480" s="13">
        <f t="shared" si="32"/>
        <v>0.22124135131878517</v>
      </c>
      <c r="H480" s="5"/>
    </row>
    <row r="481" spans="2:8" ht="22.5" customHeight="1">
      <c r="B481" s="12">
        <v>93</v>
      </c>
      <c r="C481" s="5" t="s">
        <v>17</v>
      </c>
      <c r="D481" s="5" t="s">
        <v>17</v>
      </c>
      <c r="E481" s="5" t="s">
        <v>17</v>
      </c>
      <c r="F481" s="5">
        <v>31356</v>
      </c>
      <c r="G481" s="13">
        <f t="shared" si="32"/>
        <v>0.19885466410456423</v>
      </c>
      <c r="H481" s="5"/>
    </row>
    <row r="482" spans="2:8" ht="22.5" customHeight="1">
      <c r="B482" s="12">
        <v>94</v>
      </c>
      <c r="C482" s="5" t="s">
        <v>17</v>
      </c>
      <c r="D482" s="5" t="s">
        <v>17</v>
      </c>
      <c r="E482" s="5" t="s">
        <v>17</v>
      </c>
      <c r="F482" s="5">
        <v>15301</v>
      </c>
      <c r="G482" s="13">
        <f t="shared" si="32"/>
        <v>9.7036459225154262E-2</v>
      </c>
      <c r="H482" s="5"/>
    </row>
    <row r="483" spans="2:8" ht="22.5" customHeight="1">
      <c r="B483" s="12">
        <v>95</v>
      </c>
      <c r="C483" s="5" t="s">
        <v>17</v>
      </c>
      <c r="D483" s="5" t="s">
        <v>17</v>
      </c>
      <c r="E483" s="5" t="s">
        <v>17</v>
      </c>
      <c r="F483" s="5">
        <v>38912</v>
      </c>
      <c r="G483" s="13">
        <f t="shared" si="32"/>
        <v>0.24677359005092495</v>
      </c>
      <c r="H483" s="5"/>
    </row>
    <row r="484" spans="2:8" ht="22.5" customHeight="1">
      <c r="B484" s="12">
        <v>96</v>
      </c>
      <c r="C484" s="5" t="s">
        <v>17</v>
      </c>
      <c r="D484" s="5" t="s">
        <v>17</v>
      </c>
      <c r="E484" s="5" t="s">
        <v>17</v>
      </c>
      <c r="F484" s="5">
        <v>28084</v>
      </c>
      <c r="G484" s="13">
        <f t="shared" si="32"/>
        <v>0.17810417102668011</v>
      </c>
      <c r="H484" s="5"/>
    </row>
    <row r="485" spans="2:8" ht="22.5" customHeight="1">
      <c r="B485" s="12">
        <v>97</v>
      </c>
      <c r="C485" s="5" t="s">
        <v>17</v>
      </c>
      <c r="D485" s="5" t="s">
        <v>17</v>
      </c>
      <c r="E485" s="5" t="s">
        <v>17</v>
      </c>
      <c r="F485" s="5">
        <v>14994</v>
      </c>
      <c r="G485" s="13">
        <f t="shared" si="32"/>
        <v>9.5089515039668199E-2</v>
      </c>
      <c r="H485" s="5"/>
    </row>
    <row r="486" spans="2:8" ht="22.5" customHeight="1">
      <c r="B486" s="12">
        <v>98</v>
      </c>
      <c r="C486" s="5" t="s">
        <v>17</v>
      </c>
      <c r="D486" s="5" t="s">
        <v>17</v>
      </c>
      <c r="E486" s="5" t="s">
        <v>17</v>
      </c>
      <c r="F486" s="5">
        <v>30674</v>
      </c>
      <c r="G486" s="13">
        <f t="shared" si="32"/>
        <v>0.1945295307674258</v>
      </c>
      <c r="H486" s="5"/>
    </row>
    <row r="487" spans="2:8" ht="22.5" customHeight="1">
      <c r="B487" s="12">
        <v>99</v>
      </c>
      <c r="C487" s="5" t="s">
        <v>17</v>
      </c>
      <c r="D487" s="5" t="s">
        <v>17</v>
      </c>
      <c r="E487" s="5" t="s">
        <v>17</v>
      </c>
      <c r="F487" s="5">
        <v>43000</v>
      </c>
      <c r="G487" s="13">
        <f t="shared" si="32"/>
        <v>0.27269902272280461</v>
      </c>
      <c r="H487" s="5"/>
    </row>
    <row r="488" spans="2:8" ht="22.5" customHeight="1">
      <c r="F488" s="4">
        <f>COUNT(F2:F487)</f>
        <v>470</v>
      </c>
    </row>
  </sheetData>
  <phoneticPr fontId="1"/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6C016-8F9C-4385-B93B-3A50E34F50A6}">
  <dimension ref="A1:F82"/>
  <sheetViews>
    <sheetView workbookViewId="0">
      <selection activeCell="F12" sqref="F12"/>
    </sheetView>
  </sheetViews>
  <sheetFormatPr defaultRowHeight="22.5" customHeight="1"/>
  <cols>
    <col min="1" max="1" width="8.6640625" style="18"/>
    <col min="2" max="4" width="15" style="18" customWidth="1"/>
    <col min="5" max="5" width="9.1640625" style="18" customWidth="1"/>
    <col min="6" max="6" width="69.4140625" style="16" customWidth="1"/>
    <col min="7" max="16384" width="8.6640625" style="16"/>
  </cols>
  <sheetData>
    <row r="1" spans="1:6" ht="22.5" customHeight="1">
      <c r="A1" s="15"/>
      <c r="B1" s="15" t="s">
        <v>15</v>
      </c>
      <c r="C1" s="15" t="s">
        <v>16</v>
      </c>
      <c r="D1" s="15" t="s">
        <v>14</v>
      </c>
      <c r="E1" s="15" t="s">
        <v>11</v>
      </c>
      <c r="F1" s="15" t="s">
        <v>10</v>
      </c>
    </row>
    <row r="2" spans="1:6" ht="22.5" customHeight="1">
      <c r="A2" s="15">
        <v>11</v>
      </c>
      <c r="B2" s="15" t="s">
        <v>6</v>
      </c>
      <c r="C2" s="15" t="s">
        <v>7</v>
      </c>
      <c r="D2" s="15" t="s">
        <v>0</v>
      </c>
      <c r="E2" s="15"/>
      <c r="F2" s="17"/>
    </row>
    <row r="3" spans="1:6" ht="22.5" customHeight="1">
      <c r="A3" s="15">
        <v>12</v>
      </c>
      <c r="B3" s="15" t="s">
        <v>6</v>
      </c>
      <c r="C3" s="15" t="s">
        <v>7</v>
      </c>
      <c r="D3" s="15" t="s">
        <v>0</v>
      </c>
      <c r="E3" s="15">
        <v>36890</v>
      </c>
      <c r="F3" s="17"/>
    </row>
    <row r="4" spans="1:6" ht="22.5" customHeight="1">
      <c r="A4" s="15">
        <v>13</v>
      </c>
      <c r="B4" s="15" t="s">
        <v>6</v>
      </c>
      <c r="C4" s="15" t="s">
        <v>7</v>
      </c>
      <c r="D4" s="15" t="s">
        <v>0</v>
      </c>
      <c r="E4" s="15">
        <v>10891</v>
      </c>
      <c r="F4" s="17"/>
    </row>
    <row r="5" spans="1:6" ht="22.5" customHeight="1">
      <c r="A5" s="15">
        <v>14</v>
      </c>
      <c r="B5" s="15" t="s">
        <v>6</v>
      </c>
      <c r="C5" s="15" t="s">
        <v>7</v>
      </c>
      <c r="D5" s="15" t="s">
        <v>0</v>
      </c>
      <c r="E5" s="15">
        <v>16239</v>
      </c>
      <c r="F5" s="17"/>
    </row>
    <row r="6" spans="1:6" ht="22.5" customHeight="1">
      <c r="A6" s="15">
        <v>15</v>
      </c>
      <c r="B6" s="15" t="s">
        <v>6</v>
      </c>
      <c r="C6" s="15" t="s">
        <v>7</v>
      </c>
      <c r="D6" s="15" t="s">
        <v>0</v>
      </c>
      <c r="E6" s="15">
        <v>47900</v>
      </c>
      <c r="F6" s="17"/>
    </row>
    <row r="7" spans="1:6" ht="22.5" customHeight="1">
      <c r="A7" s="15">
        <v>16</v>
      </c>
      <c r="B7" s="15" t="s">
        <v>6</v>
      </c>
      <c r="C7" s="15" t="s">
        <v>7</v>
      </c>
      <c r="D7" s="15" t="s">
        <v>0</v>
      </c>
      <c r="E7" s="15">
        <v>25890</v>
      </c>
      <c r="F7" s="17"/>
    </row>
    <row r="8" spans="1:6" ht="22.5" customHeight="1">
      <c r="A8" s="15">
        <v>17</v>
      </c>
      <c r="B8" s="15" t="s">
        <v>6</v>
      </c>
      <c r="C8" s="15" t="s">
        <v>7</v>
      </c>
      <c r="D8" s="15" t="s">
        <v>0</v>
      </c>
      <c r="E8" s="15">
        <v>15043</v>
      </c>
      <c r="F8" s="17"/>
    </row>
    <row r="9" spans="1:6" ht="22.5" customHeight="1">
      <c r="A9" s="15">
        <v>18</v>
      </c>
      <c r="B9" s="15" t="s">
        <v>6</v>
      </c>
      <c r="C9" s="15" t="s">
        <v>7</v>
      </c>
      <c r="D9" s="15" t="s">
        <v>0</v>
      </c>
      <c r="E9" s="15">
        <v>27198</v>
      </c>
      <c r="F9" s="17"/>
    </row>
    <row r="10" spans="1:6" ht="22.5" customHeight="1">
      <c r="A10" s="15">
        <v>19</v>
      </c>
      <c r="B10" s="15" t="s">
        <v>6</v>
      </c>
      <c r="C10" s="15" t="s">
        <v>7</v>
      </c>
      <c r="D10" s="15" t="s">
        <v>0</v>
      </c>
      <c r="E10" s="15"/>
      <c r="F10" s="17"/>
    </row>
    <row r="11" spans="1:6" ht="22.5" customHeight="1">
      <c r="A11" s="15">
        <v>21</v>
      </c>
      <c r="B11" s="15" t="s">
        <v>6</v>
      </c>
      <c r="C11" s="15" t="s">
        <v>7</v>
      </c>
      <c r="D11" s="15" t="s">
        <v>0</v>
      </c>
      <c r="E11" s="15"/>
      <c r="F11" s="17"/>
    </row>
    <row r="12" spans="1:6" ht="22.5" customHeight="1">
      <c r="A12" s="15">
        <v>22</v>
      </c>
      <c r="B12" s="15" t="s">
        <v>6</v>
      </c>
      <c r="C12" s="15" t="s">
        <v>7</v>
      </c>
      <c r="D12" s="15" t="s">
        <v>0</v>
      </c>
      <c r="E12" s="15">
        <v>20706</v>
      </c>
      <c r="F12" s="17"/>
    </row>
    <row r="13" spans="1:6" ht="22.5" customHeight="1">
      <c r="A13" s="15">
        <v>23</v>
      </c>
      <c r="B13" s="15" t="s">
        <v>6</v>
      </c>
      <c r="C13" s="15" t="s">
        <v>7</v>
      </c>
      <c r="D13" s="15" t="s">
        <v>0</v>
      </c>
      <c r="E13" s="15">
        <v>6166</v>
      </c>
      <c r="F13" s="17"/>
    </row>
    <row r="14" spans="1:6" ht="22.5" customHeight="1">
      <c r="A14" s="15">
        <v>24</v>
      </c>
      <c r="B14" s="15" t="s">
        <v>6</v>
      </c>
      <c r="C14" s="15" t="s">
        <v>7</v>
      </c>
      <c r="D14" s="15" t="s">
        <v>0</v>
      </c>
      <c r="E14" s="15"/>
      <c r="F14" s="17"/>
    </row>
    <row r="15" spans="1:6" ht="22.5" customHeight="1">
      <c r="A15" s="15">
        <v>25</v>
      </c>
      <c r="B15" s="15" t="s">
        <v>6</v>
      </c>
      <c r="C15" s="15" t="s">
        <v>7</v>
      </c>
      <c r="D15" s="15" t="s">
        <v>0</v>
      </c>
      <c r="E15" s="15">
        <v>20746</v>
      </c>
      <c r="F15" s="17"/>
    </row>
    <row r="16" spans="1:6" ht="22.5" customHeight="1">
      <c r="A16" s="15">
        <v>26</v>
      </c>
      <c r="B16" s="15" t="s">
        <v>6</v>
      </c>
      <c r="C16" s="15" t="s">
        <v>7</v>
      </c>
      <c r="D16" s="15" t="s">
        <v>0</v>
      </c>
      <c r="E16" s="15">
        <v>17202</v>
      </c>
      <c r="F16" s="17"/>
    </row>
    <row r="17" spans="1:6" ht="22.5" customHeight="1">
      <c r="A17" s="15">
        <v>27</v>
      </c>
      <c r="B17" s="15" t="s">
        <v>6</v>
      </c>
      <c r="C17" s="15" t="s">
        <v>7</v>
      </c>
      <c r="D17" s="15" t="s">
        <v>0</v>
      </c>
      <c r="E17" s="15">
        <v>11558</v>
      </c>
      <c r="F17" s="17"/>
    </row>
    <row r="18" spans="1:6" ht="22.5" customHeight="1">
      <c r="A18" s="15">
        <v>28</v>
      </c>
      <c r="B18" s="15" t="s">
        <v>6</v>
      </c>
      <c r="C18" s="15" t="s">
        <v>7</v>
      </c>
      <c r="D18" s="15" t="s">
        <v>0</v>
      </c>
      <c r="E18" s="15">
        <v>31183</v>
      </c>
      <c r="F18" s="17"/>
    </row>
    <row r="19" spans="1:6" ht="22.5" customHeight="1">
      <c r="A19" s="15">
        <v>29</v>
      </c>
      <c r="B19" s="15" t="s">
        <v>6</v>
      </c>
      <c r="C19" s="15" t="s">
        <v>7</v>
      </c>
      <c r="D19" s="15" t="s">
        <v>0</v>
      </c>
      <c r="E19" s="15"/>
      <c r="F19" s="17"/>
    </row>
    <row r="20" spans="1:6" ht="22.5" customHeight="1">
      <c r="A20" s="15">
        <v>31</v>
      </c>
      <c r="B20" s="15" t="s">
        <v>6</v>
      </c>
      <c r="C20" s="15" t="s">
        <v>7</v>
      </c>
      <c r="D20" s="15" t="s">
        <v>0</v>
      </c>
      <c r="E20" s="15">
        <v>18941</v>
      </c>
      <c r="F20" s="17"/>
    </row>
    <row r="21" spans="1:6" ht="22.5" customHeight="1">
      <c r="A21" s="15">
        <v>32</v>
      </c>
      <c r="B21" s="15" t="s">
        <v>6</v>
      </c>
      <c r="C21" s="15" t="s">
        <v>7</v>
      </c>
      <c r="D21" s="15" t="s">
        <v>0</v>
      </c>
      <c r="E21" s="15">
        <v>9178</v>
      </c>
      <c r="F21" s="17"/>
    </row>
    <row r="22" spans="1:6" ht="22.5" customHeight="1">
      <c r="A22" s="15">
        <v>33</v>
      </c>
      <c r="B22" s="15" t="s">
        <v>6</v>
      </c>
      <c r="C22" s="15" t="s">
        <v>7</v>
      </c>
      <c r="D22" s="15" t="s">
        <v>0</v>
      </c>
      <c r="E22" s="15">
        <v>49555</v>
      </c>
      <c r="F22" s="17"/>
    </row>
    <row r="23" spans="1:6" ht="22.5" customHeight="1">
      <c r="A23" s="15">
        <v>34</v>
      </c>
      <c r="B23" s="15" t="s">
        <v>6</v>
      </c>
      <c r="C23" s="15" t="s">
        <v>7</v>
      </c>
      <c r="D23" s="15" t="s">
        <v>0</v>
      </c>
      <c r="E23" s="15">
        <v>6441</v>
      </c>
      <c r="F23" s="17"/>
    </row>
    <row r="24" spans="1:6" ht="22.5" customHeight="1">
      <c r="A24" s="15">
        <v>35</v>
      </c>
      <c r="B24" s="15" t="s">
        <v>6</v>
      </c>
      <c r="C24" s="15" t="s">
        <v>7</v>
      </c>
      <c r="D24" s="15" t="s">
        <v>0</v>
      </c>
      <c r="E24" s="15">
        <v>47099</v>
      </c>
      <c r="F24" s="17"/>
    </row>
    <row r="25" spans="1:6" ht="22.5" customHeight="1">
      <c r="A25" s="15">
        <v>36</v>
      </c>
      <c r="B25" s="15" t="s">
        <v>6</v>
      </c>
      <c r="C25" s="15" t="s">
        <v>7</v>
      </c>
      <c r="D25" s="15" t="s">
        <v>0</v>
      </c>
      <c r="E25" s="15">
        <v>49193</v>
      </c>
      <c r="F25" s="17"/>
    </row>
    <row r="26" spans="1:6" ht="22.5" customHeight="1">
      <c r="A26" s="15">
        <v>37</v>
      </c>
      <c r="B26" s="15" t="s">
        <v>6</v>
      </c>
      <c r="C26" s="15" t="s">
        <v>7</v>
      </c>
      <c r="D26" s="15" t="s">
        <v>0</v>
      </c>
      <c r="E26" s="15">
        <v>8741</v>
      </c>
      <c r="F26" s="17"/>
    </row>
    <row r="27" spans="1:6" ht="22.5" customHeight="1">
      <c r="A27" s="15">
        <v>38</v>
      </c>
      <c r="B27" s="15" t="s">
        <v>6</v>
      </c>
      <c r="C27" s="15" t="s">
        <v>7</v>
      </c>
      <c r="D27" s="15" t="s">
        <v>0</v>
      </c>
      <c r="E27" s="15">
        <v>42843</v>
      </c>
      <c r="F27" s="17"/>
    </row>
    <row r="28" spans="1:6" ht="22.5" customHeight="1">
      <c r="A28" s="15">
        <v>39</v>
      </c>
      <c r="B28" s="15" t="s">
        <v>6</v>
      </c>
      <c r="C28" s="15" t="s">
        <v>7</v>
      </c>
      <c r="D28" s="15" t="s">
        <v>0</v>
      </c>
      <c r="E28" s="15">
        <v>16944</v>
      </c>
      <c r="F28" s="17"/>
    </row>
    <row r="29" spans="1:6" ht="22.5" customHeight="1">
      <c r="A29" s="15">
        <v>41</v>
      </c>
      <c r="B29" s="15" t="s">
        <v>6</v>
      </c>
      <c r="C29" s="15" t="s">
        <v>8</v>
      </c>
      <c r="D29" s="15" t="s">
        <v>0</v>
      </c>
      <c r="E29" s="15">
        <v>10217</v>
      </c>
      <c r="F29" s="17"/>
    </row>
    <row r="30" spans="1:6" ht="22.5" customHeight="1">
      <c r="A30" s="15">
        <v>42</v>
      </c>
      <c r="B30" s="15" t="s">
        <v>6</v>
      </c>
      <c r="C30" s="15" t="s">
        <v>8</v>
      </c>
      <c r="D30" s="15" t="s">
        <v>0</v>
      </c>
      <c r="E30" s="15">
        <v>10566</v>
      </c>
      <c r="F30" s="17"/>
    </row>
    <row r="31" spans="1:6" ht="22.5" customHeight="1">
      <c r="A31" s="15">
        <v>43</v>
      </c>
      <c r="B31" s="15" t="s">
        <v>6</v>
      </c>
      <c r="C31" s="15" t="s">
        <v>8</v>
      </c>
      <c r="D31" s="15" t="s">
        <v>0</v>
      </c>
      <c r="E31" s="15">
        <v>45337</v>
      </c>
      <c r="F31" s="17"/>
    </row>
    <row r="32" spans="1:6" ht="22.5" customHeight="1">
      <c r="A32" s="15">
        <v>44</v>
      </c>
      <c r="B32" s="15" t="s">
        <v>6</v>
      </c>
      <c r="C32" s="15" t="s">
        <v>8</v>
      </c>
      <c r="D32" s="15" t="s">
        <v>0</v>
      </c>
      <c r="E32" s="15">
        <v>21682</v>
      </c>
      <c r="F32" s="17"/>
    </row>
    <row r="33" spans="1:6" ht="22.5" customHeight="1">
      <c r="A33" s="15">
        <v>45</v>
      </c>
      <c r="B33" s="15" t="s">
        <v>6</v>
      </c>
      <c r="C33" s="15" t="s">
        <v>8</v>
      </c>
      <c r="D33" s="15" t="s">
        <v>0</v>
      </c>
      <c r="E33" s="15">
        <v>30051</v>
      </c>
      <c r="F33" s="17"/>
    </row>
    <row r="34" spans="1:6" ht="22.5" customHeight="1">
      <c r="A34" s="15">
        <v>46</v>
      </c>
      <c r="B34" s="15" t="s">
        <v>6</v>
      </c>
      <c r="C34" s="15" t="s">
        <v>8</v>
      </c>
      <c r="D34" s="15" t="s">
        <v>0</v>
      </c>
      <c r="E34" s="15">
        <v>57045</v>
      </c>
      <c r="F34" s="17"/>
    </row>
    <row r="35" spans="1:6" ht="22.5" customHeight="1">
      <c r="A35" s="15">
        <v>47</v>
      </c>
      <c r="B35" s="15" t="s">
        <v>6</v>
      </c>
      <c r="C35" s="15" t="s">
        <v>8</v>
      </c>
      <c r="D35" s="15" t="s">
        <v>0</v>
      </c>
      <c r="E35" s="15">
        <v>15368</v>
      </c>
      <c r="F35" s="17"/>
    </row>
    <row r="36" spans="1:6" ht="22.5" customHeight="1">
      <c r="A36" s="15">
        <v>48</v>
      </c>
      <c r="B36" s="15" t="s">
        <v>6</v>
      </c>
      <c r="C36" s="15" t="s">
        <v>8</v>
      </c>
      <c r="D36" s="15" t="s">
        <v>0</v>
      </c>
      <c r="E36" s="15">
        <v>16338</v>
      </c>
      <c r="F36" s="17"/>
    </row>
    <row r="37" spans="1:6" ht="22.5" customHeight="1">
      <c r="A37" s="15">
        <v>49</v>
      </c>
      <c r="B37" s="15" t="s">
        <v>6</v>
      </c>
      <c r="C37" s="15" t="s">
        <v>8</v>
      </c>
      <c r="D37" s="15" t="s">
        <v>0</v>
      </c>
      <c r="E37" s="15">
        <v>41842</v>
      </c>
      <c r="F37" s="17"/>
    </row>
    <row r="38" spans="1:6" ht="22.5" customHeight="1">
      <c r="A38" s="15">
        <v>51</v>
      </c>
      <c r="B38" s="15" t="s">
        <v>6</v>
      </c>
      <c r="C38" s="15" t="s">
        <v>8</v>
      </c>
      <c r="D38" s="15" t="s">
        <v>0</v>
      </c>
      <c r="E38" s="15">
        <v>13202</v>
      </c>
      <c r="F38" s="17"/>
    </row>
    <row r="39" spans="1:6" ht="22.5" customHeight="1">
      <c r="A39" s="15">
        <v>52</v>
      </c>
      <c r="B39" s="15" t="s">
        <v>6</v>
      </c>
      <c r="C39" s="15" t="s">
        <v>8</v>
      </c>
      <c r="D39" s="15" t="s">
        <v>0</v>
      </c>
      <c r="E39" s="15">
        <v>43580</v>
      </c>
      <c r="F39" s="17"/>
    </row>
    <row r="40" spans="1:6" ht="22.5" customHeight="1">
      <c r="A40" s="15">
        <v>53</v>
      </c>
      <c r="B40" s="15" t="s">
        <v>6</v>
      </c>
      <c r="C40" s="15" t="s">
        <v>8</v>
      </c>
      <c r="D40" s="15" t="s">
        <v>0</v>
      </c>
      <c r="E40" s="15">
        <v>21324</v>
      </c>
      <c r="F40" s="17"/>
    </row>
    <row r="41" spans="1:6" ht="22.5" customHeight="1">
      <c r="A41" s="15">
        <v>54</v>
      </c>
      <c r="B41" s="15" t="s">
        <v>6</v>
      </c>
      <c r="C41" s="15" t="s">
        <v>8</v>
      </c>
      <c r="D41" s="15" t="s">
        <v>0</v>
      </c>
      <c r="E41" s="15">
        <v>33591</v>
      </c>
      <c r="F41" s="17"/>
    </row>
    <row r="42" spans="1:6" ht="22.5" customHeight="1">
      <c r="A42" s="15">
        <v>55</v>
      </c>
      <c r="B42" s="15" t="s">
        <v>6</v>
      </c>
      <c r="C42" s="15" t="s">
        <v>8</v>
      </c>
      <c r="D42" s="15" t="s">
        <v>0</v>
      </c>
      <c r="E42" s="15">
        <v>7394</v>
      </c>
      <c r="F42" s="17"/>
    </row>
    <row r="43" spans="1:6" ht="22.5" customHeight="1">
      <c r="A43" s="15">
        <v>56</v>
      </c>
      <c r="B43" s="15" t="s">
        <v>6</v>
      </c>
      <c r="C43" s="15" t="s">
        <v>8</v>
      </c>
      <c r="D43" s="15" t="s">
        <v>0</v>
      </c>
      <c r="E43" s="15">
        <v>22268</v>
      </c>
      <c r="F43" s="17"/>
    </row>
    <row r="44" spans="1:6" ht="22.5" customHeight="1">
      <c r="A44" s="15">
        <v>57</v>
      </c>
      <c r="B44" s="15" t="s">
        <v>6</v>
      </c>
      <c r="C44" s="15" t="s">
        <v>8</v>
      </c>
      <c r="D44" s="15" t="s">
        <v>0</v>
      </c>
      <c r="E44" s="15">
        <v>9206</v>
      </c>
      <c r="F44" s="17"/>
    </row>
    <row r="45" spans="1:6" ht="22.5" customHeight="1">
      <c r="A45" s="15">
        <v>58</v>
      </c>
      <c r="B45" s="15" t="s">
        <v>6</v>
      </c>
      <c r="C45" s="15" t="s">
        <v>8</v>
      </c>
      <c r="D45" s="15" t="s">
        <v>0</v>
      </c>
      <c r="E45" s="15">
        <v>9466</v>
      </c>
      <c r="F45" s="17"/>
    </row>
    <row r="46" spans="1:6" ht="22.5" customHeight="1">
      <c r="A46" s="15">
        <v>59</v>
      </c>
      <c r="B46" s="15" t="s">
        <v>6</v>
      </c>
      <c r="C46" s="15" t="s">
        <v>8</v>
      </c>
      <c r="D46" s="15" t="s">
        <v>0</v>
      </c>
      <c r="E46" s="15">
        <v>25827</v>
      </c>
      <c r="F46" s="17"/>
    </row>
    <row r="47" spans="1:6" ht="22.5" customHeight="1">
      <c r="A47" s="15">
        <v>61</v>
      </c>
      <c r="B47" s="15" t="s">
        <v>6</v>
      </c>
      <c r="C47" s="15" t="s">
        <v>8</v>
      </c>
      <c r="D47" s="15" t="s">
        <v>0</v>
      </c>
      <c r="E47" s="15">
        <v>25530</v>
      </c>
      <c r="F47" s="17"/>
    </row>
    <row r="48" spans="1:6" ht="22.5" customHeight="1">
      <c r="A48" s="15">
        <v>62</v>
      </c>
      <c r="B48" s="15" t="s">
        <v>6</v>
      </c>
      <c r="C48" s="15" t="s">
        <v>8</v>
      </c>
      <c r="D48" s="15" t="s">
        <v>0</v>
      </c>
      <c r="E48" s="15">
        <v>45779</v>
      </c>
      <c r="F48" s="17"/>
    </row>
    <row r="49" spans="1:6" ht="22.5" customHeight="1">
      <c r="A49" s="15">
        <v>63</v>
      </c>
      <c r="B49" s="15" t="s">
        <v>6</v>
      </c>
      <c r="C49" s="15" t="s">
        <v>8</v>
      </c>
      <c r="D49" s="15" t="s">
        <v>0</v>
      </c>
      <c r="E49" s="15">
        <v>16794</v>
      </c>
      <c r="F49" s="17"/>
    </row>
    <row r="50" spans="1:6" ht="22.5" customHeight="1">
      <c r="A50" s="15">
        <v>64</v>
      </c>
      <c r="B50" s="15" t="s">
        <v>6</v>
      </c>
      <c r="C50" s="15" t="s">
        <v>8</v>
      </c>
      <c r="D50" s="15" t="s">
        <v>0</v>
      </c>
      <c r="E50" s="15">
        <v>14076</v>
      </c>
      <c r="F50" s="17"/>
    </row>
    <row r="51" spans="1:6" ht="22.5" customHeight="1">
      <c r="A51" s="15">
        <v>65</v>
      </c>
      <c r="B51" s="15" t="s">
        <v>6</v>
      </c>
      <c r="C51" s="15" t="s">
        <v>8</v>
      </c>
      <c r="D51" s="15" t="s">
        <v>0</v>
      </c>
      <c r="E51" s="15">
        <v>12427</v>
      </c>
      <c r="F51" s="17"/>
    </row>
    <row r="52" spans="1:6" ht="22.5" customHeight="1">
      <c r="A52" s="15">
        <v>66</v>
      </c>
      <c r="B52" s="15" t="s">
        <v>6</v>
      </c>
      <c r="C52" s="15" t="s">
        <v>8</v>
      </c>
      <c r="D52" s="15" t="s">
        <v>0</v>
      </c>
      <c r="E52" s="15">
        <v>22854</v>
      </c>
      <c r="F52" s="17"/>
    </row>
    <row r="53" spans="1:6" ht="22.5" customHeight="1">
      <c r="A53" s="15">
        <v>67</v>
      </c>
      <c r="B53" s="15" t="s">
        <v>6</v>
      </c>
      <c r="C53" s="15" t="s">
        <v>8</v>
      </c>
      <c r="D53" s="15" t="s">
        <v>0</v>
      </c>
      <c r="E53" s="15">
        <v>22046</v>
      </c>
      <c r="F53" s="17"/>
    </row>
    <row r="54" spans="1:6" ht="22.5" customHeight="1">
      <c r="A54" s="15">
        <v>68</v>
      </c>
      <c r="B54" s="15" t="s">
        <v>6</v>
      </c>
      <c r="C54" s="15" t="s">
        <v>8</v>
      </c>
      <c r="D54" s="15" t="s">
        <v>0</v>
      </c>
      <c r="E54" s="15">
        <v>35677</v>
      </c>
      <c r="F54" s="17"/>
    </row>
    <row r="55" spans="1:6" ht="22.5" customHeight="1">
      <c r="A55" s="15">
        <v>69</v>
      </c>
      <c r="B55" s="15" t="s">
        <v>6</v>
      </c>
      <c r="C55" s="15" t="s">
        <v>8</v>
      </c>
      <c r="D55" s="15" t="s">
        <v>0</v>
      </c>
      <c r="E55" s="15">
        <v>36285</v>
      </c>
      <c r="F55" s="17"/>
    </row>
    <row r="56" spans="1:6" ht="22.5" customHeight="1">
      <c r="A56" s="15">
        <v>71</v>
      </c>
      <c r="B56" s="15" t="s">
        <v>6</v>
      </c>
      <c r="C56" s="15" t="s">
        <v>9</v>
      </c>
      <c r="D56" s="15" t="s">
        <v>0</v>
      </c>
      <c r="E56" s="15">
        <v>10169</v>
      </c>
      <c r="F56" s="17"/>
    </row>
    <row r="57" spans="1:6" ht="22.5" customHeight="1">
      <c r="A57" s="15">
        <v>72</v>
      </c>
      <c r="B57" s="15" t="s">
        <v>6</v>
      </c>
      <c r="C57" s="15" t="s">
        <v>9</v>
      </c>
      <c r="D57" s="15" t="s">
        <v>0</v>
      </c>
      <c r="E57" s="15">
        <v>27160</v>
      </c>
      <c r="F57" s="17"/>
    </row>
    <row r="58" spans="1:6" ht="22.5" customHeight="1">
      <c r="A58" s="15">
        <v>73</v>
      </c>
      <c r="B58" s="15" t="s">
        <v>6</v>
      </c>
      <c r="C58" s="15" t="s">
        <v>9</v>
      </c>
      <c r="D58" s="15" t="s">
        <v>0</v>
      </c>
      <c r="E58" s="15">
        <v>11371</v>
      </c>
      <c r="F58" s="17"/>
    </row>
    <row r="59" spans="1:6" ht="22.5" customHeight="1">
      <c r="A59" s="15">
        <v>74</v>
      </c>
      <c r="B59" s="15" t="s">
        <v>6</v>
      </c>
      <c r="C59" s="15" t="s">
        <v>9</v>
      </c>
      <c r="D59" s="15" t="s">
        <v>0</v>
      </c>
      <c r="E59" s="15">
        <v>23621</v>
      </c>
      <c r="F59" s="17"/>
    </row>
    <row r="60" spans="1:6" ht="22.5" customHeight="1">
      <c r="A60" s="15">
        <v>75</v>
      </c>
      <c r="B60" s="15" t="s">
        <v>6</v>
      </c>
      <c r="C60" s="15" t="s">
        <v>9</v>
      </c>
      <c r="D60" s="15" t="s">
        <v>0</v>
      </c>
      <c r="E60" s="15">
        <v>14034</v>
      </c>
      <c r="F60" s="17"/>
    </row>
    <row r="61" spans="1:6" ht="22.5" customHeight="1">
      <c r="A61" s="15">
        <v>76</v>
      </c>
      <c r="B61" s="15" t="s">
        <v>6</v>
      </c>
      <c r="C61" s="15" t="s">
        <v>9</v>
      </c>
      <c r="D61" s="15" t="s">
        <v>0</v>
      </c>
      <c r="E61" s="15">
        <v>8522</v>
      </c>
      <c r="F61" s="17"/>
    </row>
    <row r="62" spans="1:6" ht="22.5" customHeight="1">
      <c r="A62" s="15">
        <v>77</v>
      </c>
      <c r="B62" s="15" t="s">
        <v>6</v>
      </c>
      <c r="C62" s="15" t="s">
        <v>9</v>
      </c>
      <c r="D62" s="15" t="s">
        <v>0</v>
      </c>
      <c r="E62" s="15">
        <v>18386</v>
      </c>
      <c r="F62" s="17"/>
    </row>
    <row r="63" spans="1:6" ht="22.5" customHeight="1">
      <c r="A63" s="15">
        <v>78</v>
      </c>
      <c r="B63" s="15" t="s">
        <v>6</v>
      </c>
      <c r="C63" s="15" t="s">
        <v>9</v>
      </c>
      <c r="D63" s="15" t="s">
        <v>0</v>
      </c>
      <c r="E63" s="15">
        <v>13946</v>
      </c>
      <c r="F63" s="17"/>
    </row>
    <row r="64" spans="1:6" ht="22.5" customHeight="1">
      <c r="A64" s="15">
        <v>79</v>
      </c>
      <c r="B64" s="15" t="s">
        <v>6</v>
      </c>
      <c r="C64" s="15" t="s">
        <v>9</v>
      </c>
      <c r="D64" s="15" t="s">
        <v>0</v>
      </c>
      <c r="E64" s="15">
        <v>39480</v>
      </c>
      <c r="F64" s="17"/>
    </row>
    <row r="65" spans="1:6" ht="22.5" customHeight="1">
      <c r="A65" s="15">
        <v>81</v>
      </c>
      <c r="B65" s="15" t="s">
        <v>6</v>
      </c>
      <c r="C65" s="15" t="s">
        <v>9</v>
      </c>
      <c r="D65" s="15" t="s">
        <v>0</v>
      </c>
      <c r="E65" s="15">
        <v>41015</v>
      </c>
      <c r="F65" s="17"/>
    </row>
    <row r="66" spans="1:6" ht="22.5" customHeight="1">
      <c r="A66" s="15">
        <v>82</v>
      </c>
      <c r="B66" s="15" t="s">
        <v>6</v>
      </c>
      <c r="C66" s="15" t="s">
        <v>9</v>
      </c>
      <c r="D66" s="15" t="s">
        <v>0</v>
      </c>
      <c r="E66" s="15">
        <v>37939</v>
      </c>
      <c r="F66" s="17"/>
    </row>
    <row r="67" spans="1:6" ht="22.5" customHeight="1">
      <c r="A67" s="15">
        <v>83</v>
      </c>
      <c r="B67" s="15" t="s">
        <v>6</v>
      </c>
      <c r="C67" s="15" t="s">
        <v>9</v>
      </c>
      <c r="D67" s="15" t="s">
        <v>0</v>
      </c>
      <c r="E67" s="15">
        <v>32446</v>
      </c>
      <c r="F67" s="17"/>
    </row>
    <row r="68" spans="1:6" ht="22.5" customHeight="1">
      <c r="A68" s="15">
        <v>84</v>
      </c>
      <c r="B68" s="15" t="s">
        <v>6</v>
      </c>
      <c r="C68" s="15" t="s">
        <v>9</v>
      </c>
      <c r="D68" s="15" t="s">
        <v>0</v>
      </c>
      <c r="E68" s="15">
        <v>16884</v>
      </c>
      <c r="F68" s="17"/>
    </row>
    <row r="69" spans="1:6" ht="22.5" customHeight="1">
      <c r="A69" s="15">
        <v>85</v>
      </c>
      <c r="B69" s="15" t="s">
        <v>6</v>
      </c>
      <c r="C69" s="15" t="s">
        <v>9</v>
      </c>
      <c r="D69" s="15" t="s">
        <v>0</v>
      </c>
      <c r="E69" s="15">
        <v>17416</v>
      </c>
      <c r="F69" s="17"/>
    </row>
    <row r="70" spans="1:6" ht="22.5" customHeight="1">
      <c r="A70" s="15">
        <v>86</v>
      </c>
      <c r="B70" s="15" t="s">
        <v>6</v>
      </c>
      <c r="C70" s="15" t="s">
        <v>9</v>
      </c>
      <c r="D70" s="15" t="s">
        <v>0</v>
      </c>
      <c r="E70" s="15">
        <v>17280</v>
      </c>
      <c r="F70" s="17"/>
    </row>
    <row r="71" spans="1:6" ht="22.5" customHeight="1">
      <c r="A71" s="15">
        <v>87</v>
      </c>
      <c r="B71" s="15" t="s">
        <v>6</v>
      </c>
      <c r="C71" s="15" t="s">
        <v>9</v>
      </c>
      <c r="D71" s="15" t="s">
        <v>0</v>
      </c>
      <c r="E71" s="15">
        <v>12363</v>
      </c>
      <c r="F71" s="17"/>
    </row>
    <row r="72" spans="1:6" ht="22.5" customHeight="1">
      <c r="A72" s="15">
        <v>88</v>
      </c>
      <c r="B72" s="15" t="s">
        <v>6</v>
      </c>
      <c r="C72" s="15" t="s">
        <v>9</v>
      </c>
      <c r="D72" s="15" t="s">
        <v>0</v>
      </c>
      <c r="E72" s="15">
        <v>11950</v>
      </c>
      <c r="F72" s="17"/>
    </row>
    <row r="73" spans="1:6" ht="22.5" customHeight="1">
      <c r="A73" s="15">
        <v>89</v>
      </c>
      <c r="B73" s="15" t="s">
        <v>6</v>
      </c>
      <c r="C73" s="15" t="s">
        <v>9</v>
      </c>
      <c r="D73" s="15" t="s">
        <v>0</v>
      </c>
      <c r="E73" s="15">
        <v>17440</v>
      </c>
      <c r="F73" s="17"/>
    </row>
    <row r="74" spans="1:6" ht="22.5" customHeight="1">
      <c r="A74" s="15">
        <v>91</v>
      </c>
      <c r="B74" s="15" t="s">
        <v>6</v>
      </c>
      <c r="C74" s="15" t="s">
        <v>9</v>
      </c>
      <c r="D74" s="15" t="s">
        <v>0</v>
      </c>
      <c r="E74" s="15">
        <v>32880</v>
      </c>
      <c r="F74" s="17"/>
    </row>
    <row r="75" spans="1:6" ht="22.5" customHeight="1">
      <c r="A75" s="15">
        <v>92</v>
      </c>
      <c r="B75" s="15" t="s">
        <v>6</v>
      </c>
      <c r="C75" s="15" t="s">
        <v>9</v>
      </c>
      <c r="D75" s="15" t="s">
        <v>0</v>
      </c>
      <c r="E75" s="15">
        <v>29985</v>
      </c>
      <c r="F75" s="17"/>
    </row>
    <row r="76" spans="1:6" ht="22.5" customHeight="1">
      <c r="A76" s="15">
        <v>93</v>
      </c>
      <c r="B76" s="15" t="s">
        <v>6</v>
      </c>
      <c r="C76" s="15" t="s">
        <v>9</v>
      </c>
      <c r="D76" s="15" t="s">
        <v>0</v>
      </c>
      <c r="E76" s="15">
        <v>26056</v>
      </c>
      <c r="F76" s="17"/>
    </row>
    <row r="77" spans="1:6" ht="22.5" customHeight="1">
      <c r="A77" s="15">
        <v>94</v>
      </c>
      <c r="B77" s="15" t="s">
        <v>6</v>
      </c>
      <c r="C77" s="15" t="s">
        <v>9</v>
      </c>
      <c r="D77" s="15" t="s">
        <v>0</v>
      </c>
      <c r="E77" s="15">
        <v>34205</v>
      </c>
      <c r="F77" s="17"/>
    </row>
    <row r="78" spans="1:6" ht="22.5" customHeight="1">
      <c r="A78" s="15">
        <v>95</v>
      </c>
      <c r="B78" s="15" t="s">
        <v>6</v>
      </c>
      <c r="C78" s="15" t="s">
        <v>9</v>
      </c>
      <c r="D78" s="15" t="s">
        <v>0</v>
      </c>
      <c r="E78" s="15">
        <v>46693</v>
      </c>
      <c r="F78" s="17"/>
    </row>
    <row r="79" spans="1:6" ht="22.5" customHeight="1">
      <c r="A79" s="15">
        <v>96</v>
      </c>
      <c r="B79" s="15" t="s">
        <v>6</v>
      </c>
      <c r="C79" s="15" t="s">
        <v>9</v>
      </c>
      <c r="D79" s="15" t="s">
        <v>0</v>
      </c>
      <c r="E79" s="15">
        <v>51221</v>
      </c>
      <c r="F79" s="17"/>
    </row>
    <row r="80" spans="1:6" ht="22.5" customHeight="1">
      <c r="A80" s="15">
        <v>97</v>
      </c>
      <c r="B80" s="15" t="s">
        <v>6</v>
      </c>
      <c r="C80" s="15" t="s">
        <v>9</v>
      </c>
      <c r="D80" s="15" t="s">
        <v>0</v>
      </c>
      <c r="E80" s="15">
        <v>31868</v>
      </c>
      <c r="F80" s="17"/>
    </row>
    <row r="81" spans="1:6" ht="22.5" customHeight="1">
      <c r="A81" s="15">
        <v>98</v>
      </c>
      <c r="B81" s="15" t="s">
        <v>6</v>
      </c>
      <c r="C81" s="15" t="s">
        <v>9</v>
      </c>
      <c r="D81" s="15" t="s">
        <v>0</v>
      </c>
      <c r="E81" s="15">
        <v>40242</v>
      </c>
      <c r="F81" s="17"/>
    </row>
    <row r="82" spans="1:6" ht="22.5" customHeight="1">
      <c r="A82" s="15">
        <v>99</v>
      </c>
      <c r="B82" s="15" t="s">
        <v>6</v>
      </c>
      <c r="C82" s="15" t="s">
        <v>9</v>
      </c>
      <c r="D82" s="15" t="s">
        <v>0</v>
      </c>
      <c r="E82" s="15">
        <v>21115</v>
      </c>
      <c r="F82" s="17"/>
    </row>
  </sheetData>
  <phoneticPr fontId="1"/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9C3A-3B57-4B6C-BB17-8F0827D85924}">
  <dimension ref="A1:F82"/>
  <sheetViews>
    <sheetView workbookViewId="0">
      <selection activeCell="E93" sqref="E93"/>
    </sheetView>
  </sheetViews>
  <sheetFormatPr defaultRowHeight="22.5" customHeight="1"/>
  <cols>
    <col min="1" max="1" width="8.6640625" style="3"/>
    <col min="2" max="4" width="15" style="3" customWidth="1"/>
    <col min="5" max="5" width="9.1640625" style="3" customWidth="1"/>
    <col min="6" max="6" width="69.4140625" customWidth="1"/>
  </cols>
  <sheetData>
    <row r="1" spans="1:6" ht="22.5" customHeight="1">
      <c r="A1" s="1"/>
      <c r="B1" s="1" t="s">
        <v>15</v>
      </c>
      <c r="C1" s="1" t="s">
        <v>16</v>
      </c>
      <c r="D1" s="1" t="s">
        <v>14</v>
      </c>
      <c r="E1" s="1" t="s">
        <v>11</v>
      </c>
      <c r="F1" s="1" t="s">
        <v>10</v>
      </c>
    </row>
    <row r="2" spans="1:6" ht="22.5" customHeight="1">
      <c r="A2" s="1">
        <v>11</v>
      </c>
      <c r="B2" s="1" t="s">
        <v>6</v>
      </c>
      <c r="C2" s="1" t="s">
        <v>7</v>
      </c>
      <c r="D2" s="1" t="s">
        <v>1</v>
      </c>
      <c r="E2" s="1">
        <v>36547</v>
      </c>
      <c r="F2" s="2"/>
    </row>
    <row r="3" spans="1:6" ht="22.5" customHeight="1">
      <c r="A3" s="1">
        <v>12</v>
      </c>
      <c r="B3" s="1" t="s">
        <v>6</v>
      </c>
      <c r="C3" s="1" t="s">
        <v>7</v>
      </c>
      <c r="D3" s="1" t="s">
        <v>1</v>
      </c>
      <c r="E3" s="1">
        <v>8169</v>
      </c>
      <c r="F3" s="2"/>
    </row>
    <row r="4" spans="1:6" ht="22.5" customHeight="1">
      <c r="A4" s="1">
        <v>13</v>
      </c>
      <c r="B4" s="1" t="s">
        <v>6</v>
      </c>
      <c r="C4" s="1" t="s">
        <v>7</v>
      </c>
      <c r="D4" s="1" t="s">
        <v>1</v>
      </c>
      <c r="E4" s="1">
        <v>18329</v>
      </c>
      <c r="F4" s="2"/>
    </row>
    <row r="5" spans="1:6" ht="22.5" customHeight="1">
      <c r="A5" s="1">
        <v>14</v>
      </c>
      <c r="B5" s="1" t="s">
        <v>6</v>
      </c>
      <c r="C5" s="1" t="s">
        <v>7</v>
      </c>
      <c r="D5" s="1" t="s">
        <v>1</v>
      </c>
      <c r="E5" s="1">
        <v>33726</v>
      </c>
      <c r="F5" s="2"/>
    </row>
    <row r="6" spans="1:6" ht="22.5" customHeight="1">
      <c r="A6" s="1">
        <v>15</v>
      </c>
      <c r="B6" s="1" t="s">
        <v>6</v>
      </c>
      <c r="C6" s="1" t="s">
        <v>7</v>
      </c>
      <c r="D6" s="1" t="s">
        <v>1</v>
      </c>
      <c r="E6" s="1">
        <v>31657</v>
      </c>
      <c r="F6" s="2"/>
    </row>
    <row r="7" spans="1:6" ht="22.5" customHeight="1">
      <c r="A7" s="1">
        <v>16</v>
      </c>
      <c r="B7" s="1" t="s">
        <v>6</v>
      </c>
      <c r="C7" s="1" t="s">
        <v>7</v>
      </c>
      <c r="D7" s="1" t="s">
        <v>1</v>
      </c>
      <c r="E7" s="1">
        <v>36421</v>
      </c>
      <c r="F7" s="2"/>
    </row>
    <row r="8" spans="1:6" ht="22.5" customHeight="1">
      <c r="A8" s="1">
        <v>17</v>
      </c>
      <c r="B8" s="1" t="s">
        <v>6</v>
      </c>
      <c r="C8" s="1" t="s">
        <v>7</v>
      </c>
      <c r="D8" s="1" t="s">
        <v>1</v>
      </c>
      <c r="E8" s="1">
        <v>26797</v>
      </c>
      <c r="F8" s="2"/>
    </row>
    <row r="9" spans="1:6" ht="22.5" customHeight="1">
      <c r="A9" s="1">
        <v>18</v>
      </c>
      <c r="B9" s="1" t="s">
        <v>6</v>
      </c>
      <c r="C9" s="1" t="s">
        <v>7</v>
      </c>
      <c r="D9" s="1" t="s">
        <v>1</v>
      </c>
      <c r="E9" s="1">
        <v>33340</v>
      </c>
      <c r="F9" s="2"/>
    </row>
    <row r="10" spans="1:6" ht="22.5" customHeight="1">
      <c r="A10" s="1">
        <v>19</v>
      </c>
      <c r="B10" s="1" t="s">
        <v>6</v>
      </c>
      <c r="C10" s="1" t="s">
        <v>7</v>
      </c>
      <c r="D10" s="1" t="s">
        <v>1</v>
      </c>
      <c r="E10" s="1">
        <v>37179</v>
      </c>
      <c r="F10" s="2"/>
    </row>
    <row r="11" spans="1:6" ht="22.5" customHeight="1">
      <c r="A11" s="1">
        <v>21</v>
      </c>
      <c r="B11" s="1" t="s">
        <v>6</v>
      </c>
      <c r="C11" s="1" t="s">
        <v>7</v>
      </c>
      <c r="D11" s="1" t="s">
        <v>1</v>
      </c>
      <c r="E11" s="4">
        <v>13725</v>
      </c>
      <c r="F11" s="2"/>
    </row>
    <row r="12" spans="1:6" ht="22.5" customHeight="1">
      <c r="A12" s="1">
        <v>22</v>
      </c>
      <c r="B12" s="1" t="s">
        <v>6</v>
      </c>
      <c r="C12" s="1" t="s">
        <v>7</v>
      </c>
      <c r="D12" s="1" t="s">
        <v>1</v>
      </c>
      <c r="E12" s="1"/>
      <c r="F12" s="2"/>
    </row>
    <row r="13" spans="1:6" ht="22.5" customHeight="1">
      <c r="A13" s="1">
        <v>23</v>
      </c>
      <c r="B13" s="1" t="s">
        <v>6</v>
      </c>
      <c r="C13" s="1" t="s">
        <v>7</v>
      </c>
      <c r="D13" s="1" t="s">
        <v>1</v>
      </c>
      <c r="E13" s="1">
        <v>10752</v>
      </c>
      <c r="F13" s="2"/>
    </row>
    <row r="14" spans="1:6" ht="22.5" customHeight="1">
      <c r="A14" s="1">
        <v>24</v>
      </c>
      <c r="B14" s="1" t="s">
        <v>6</v>
      </c>
      <c r="C14" s="1" t="s">
        <v>7</v>
      </c>
      <c r="D14" s="1" t="s">
        <v>1</v>
      </c>
      <c r="E14" s="1">
        <v>13462</v>
      </c>
      <c r="F14" s="2"/>
    </row>
    <row r="15" spans="1:6" ht="22.5" customHeight="1">
      <c r="A15" s="1">
        <v>25</v>
      </c>
      <c r="B15" s="1" t="s">
        <v>6</v>
      </c>
      <c r="C15" s="1" t="s">
        <v>7</v>
      </c>
      <c r="D15" s="1" t="s">
        <v>1</v>
      </c>
      <c r="E15" s="1">
        <v>24504</v>
      </c>
      <c r="F15" s="2"/>
    </row>
    <row r="16" spans="1:6" ht="22.5" customHeight="1">
      <c r="A16" s="1">
        <v>26</v>
      </c>
      <c r="B16" s="1" t="s">
        <v>6</v>
      </c>
      <c r="C16" s="1" t="s">
        <v>7</v>
      </c>
      <c r="D16" s="1" t="s">
        <v>1</v>
      </c>
      <c r="E16" s="1">
        <v>12021</v>
      </c>
      <c r="F16" s="2"/>
    </row>
    <row r="17" spans="1:6" ht="22.5" customHeight="1">
      <c r="A17" s="1">
        <v>27</v>
      </c>
      <c r="B17" s="1" t="s">
        <v>6</v>
      </c>
      <c r="C17" s="1" t="s">
        <v>7</v>
      </c>
      <c r="D17" s="1" t="s">
        <v>1</v>
      </c>
      <c r="E17" s="1">
        <v>47218</v>
      </c>
      <c r="F17" s="2"/>
    </row>
    <row r="18" spans="1:6" ht="22.5" customHeight="1">
      <c r="A18" s="1">
        <v>28</v>
      </c>
      <c r="B18" s="1" t="s">
        <v>6</v>
      </c>
      <c r="C18" s="1" t="s">
        <v>7</v>
      </c>
      <c r="D18" s="1" t="s">
        <v>1</v>
      </c>
      <c r="E18" s="1">
        <v>9742</v>
      </c>
      <c r="F18" s="2"/>
    </row>
    <row r="19" spans="1:6" ht="22.5" customHeight="1">
      <c r="A19" s="1">
        <v>29</v>
      </c>
      <c r="B19" s="1" t="s">
        <v>6</v>
      </c>
      <c r="C19" s="1" t="s">
        <v>7</v>
      </c>
      <c r="D19" s="1" t="s">
        <v>1</v>
      </c>
      <c r="E19" s="1">
        <v>10836</v>
      </c>
      <c r="F19" s="2"/>
    </row>
    <row r="20" spans="1:6" ht="22.5" customHeight="1">
      <c r="A20" s="1">
        <v>31</v>
      </c>
      <c r="B20" s="1" t="s">
        <v>6</v>
      </c>
      <c r="C20" s="1" t="s">
        <v>7</v>
      </c>
      <c r="D20" s="1" t="s">
        <v>1</v>
      </c>
      <c r="E20" s="1">
        <v>17671</v>
      </c>
      <c r="F20" s="2"/>
    </row>
    <row r="21" spans="1:6" ht="22.5" customHeight="1">
      <c r="A21" s="15">
        <v>32</v>
      </c>
      <c r="B21" s="1" t="s">
        <v>6</v>
      </c>
      <c r="C21" s="1" t="s">
        <v>7</v>
      </c>
      <c r="D21" s="1" t="s">
        <v>1</v>
      </c>
      <c r="E21" s="1"/>
      <c r="F21" s="2"/>
    </row>
    <row r="22" spans="1:6" ht="22.5" customHeight="1">
      <c r="A22" s="1">
        <v>33</v>
      </c>
      <c r="B22" s="1" t="s">
        <v>6</v>
      </c>
      <c r="C22" s="1" t="s">
        <v>7</v>
      </c>
      <c r="D22" s="1" t="s">
        <v>1</v>
      </c>
      <c r="E22" s="1">
        <v>12880</v>
      </c>
      <c r="F22" s="2"/>
    </row>
    <row r="23" spans="1:6" ht="22.5" customHeight="1">
      <c r="A23" s="1">
        <v>34</v>
      </c>
      <c r="B23" s="1" t="s">
        <v>6</v>
      </c>
      <c r="C23" s="1" t="s">
        <v>7</v>
      </c>
      <c r="D23" s="1" t="s">
        <v>1</v>
      </c>
      <c r="E23" s="1">
        <v>11331</v>
      </c>
      <c r="F23" s="2"/>
    </row>
    <row r="24" spans="1:6" ht="22.5" customHeight="1">
      <c r="A24" s="1">
        <v>35</v>
      </c>
      <c r="B24" s="1" t="s">
        <v>6</v>
      </c>
      <c r="C24" s="1" t="s">
        <v>7</v>
      </c>
      <c r="D24" s="1" t="s">
        <v>1</v>
      </c>
      <c r="E24" s="1">
        <v>39509</v>
      </c>
      <c r="F24" s="2"/>
    </row>
    <row r="25" spans="1:6" ht="22.5" customHeight="1">
      <c r="A25" s="1">
        <v>36</v>
      </c>
      <c r="B25" s="1" t="s">
        <v>6</v>
      </c>
      <c r="C25" s="1" t="s">
        <v>7</v>
      </c>
      <c r="D25" s="1" t="s">
        <v>1</v>
      </c>
      <c r="E25" s="1">
        <v>12286</v>
      </c>
      <c r="F25" s="2"/>
    </row>
    <row r="26" spans="1:6" ht="22.5" customHeight="1">
      <c r="A26" s="1">
        <v>37</v>
      </c>
      <c r="B26" s="1" t="s">
        <v>6</v>
      </c>
      <c r="C26" s="1" t="s">
        <v>7</v>
      </c>
      <c r="D26" s="1" t="s">
        <v>1</v>
      </c>
      <c r="E26" s="1">
        <v>38975</v>
      </c>
      <c r="F26" s="2"/>
    </row>
    <row r="27" spans="1:6" ht="22.5" customHeight="1">
      <c r="A27" s="1">
        <v>38</v>
      </c>
      <c r="B27" s="1" t="s">
        <v>6</v>
      </c>
      <c r="C27" s="1" t="s">
        <v>7</v>
      </c>
      <c r="D27" s="1" t="s">
        <v>1</v>
      </c>
      <c r="E27" s="1">
        <v>18408</v>
      </c>
      <c r="F27" s="2"/>
    </row>
    <row r="28" spans="1:6" ht="22.5" customHeight="1">
      <c r="A28" s="1">
        <v>39</v>
      </c>
      <c r="B28" s="1" t="s">
        <v>6</v>
      </c>
      <c r="C28" s="1" t="s">
        <v>7</v>
      </c>
      <c r="D28" s="1" t="s">
        <v>1</v>
      </c>
      <c r="E28" s="1">
        <v>38969</v>
      </c>
      <c r="F28" s="2"/>
    </row>
    <row r="29" spans="1:6" ht="22.5" customHeight="1">
      <c r="A29" s="1">
        <v>41</v>
      </c>
      <c r="B29" s="1" t="s">
        <v>6</v>
      </c>
      <c r="C29" s="1" t="s">
        <v>8</v>
      </c>
      <c r="D29" s="1" t="s">
        <v>1</v>
      </c>
      <c r="E29" s="1">
        <v>33661</v>
      </c>
      <c r="F29" s="2"/>
    </row>
    <row r="30" spans="1:6" ht="22.5" customHeight="1">
      <c r="A30" s="1">
        <v>42</v>
      </c>
      <c r="B30" s="1" t="s">
        <v>6</v>
      </c>
      <c r="C30" s="1" t="s">
        <v>8</v>
      </c>
      <c r="D30" s="1" t="s">
        <v>1</v>
      </c>
      <c r="E30" s="1">
        <v>15156</v>
      </c>
      <c r="F30" s="2"/>
    </row>
    <row r="31" spans="1:6" ht="22.5" customHeight="1">
      <c r="A31" s="1">
        <v>43</v>
      </c>
      <c r="B31" s="1" t="s">
        <v>6</v>
      </c>
      <c r="C31" s="1" t="s">
        <v>8</v>
      </c>
      <c r="D31" s="1" t="s">
        <v>1</v>
      </c>
      <c r="E31" s="1">
        <v>7806</v>
      </c>
      <c r="F31" s="2"/>
    </row>
    <row r="32" spans="1:6" ht="22.5" customHeight="1">
      <c r="A32" s="1">
        <v>44</v>
      </c>
      <c r="B32" s="1" t="s">
        <v>6</v>
      </c>
      <c r="C32" s="1" t="s">
        <v>8</v>
      </c>
      <c r="D32" s="1" t="s">
        <v>1</v>
      </c>
      <c r="E32" s="1">
        <v>24666</v>
      </c>
      <c r="F32" s="2"/>
    </row>
    <row r="33" spans="1:6" ht="22.5" customHeight="1">
      <c r="A33" s="1">
        <v>45</v>
      </c>
      <c r="B33" s="1" t="s">
        <v>6</v>
      </c>
      <c r="C33" s="1" t="s">
        <v>8</v>
      </c>
      <c r="D33" s="1" t="s">
        <v>1</v>
      </c>
      <c r="E33" s="1">
        <v>16361</v>
      </c>
      <c r="F33" s="2"/>
    </row>
    <row r="34" spans="1:6" ht="22.5" customHeight="1">
      <c r="A34" s="1">
        <v>46</v>
      </c>
      <c r="B34" s="1" t="s">
        <v>6</v>
      </c>
      <c r="C34" s="1" t="s">
        <v>8</v>
      </c>
      <c r="D34" s="1" t="s">
        <v>1</v>
      </c>
      <c r="E34" s="1">
        <v>6875</v>
      </c>
      <c r="F34" s="2"/>
    </row>
    <row r="35" spans="1:6" ht="22.5" customHeight="1">
      <c r="A35" s="1">
        <v>47</v>
      </c>
      <c r="B35" s="1" t="s">
        <v>6</v>
      </c>
      <c r="C35" s="1" t="s">
        <v>8</v>
      </c>
      <c r="D35" s="1" t="s">
        <v>1</v>
      </c>
      <c r="E35" s="1">
        <v>13003</v>
      </c>
      <c r="F35" s="2"/>
    </row>
    <row r="36" spans="1:6" ht="22.5" customHeight="1">
      <c r="A36" s="1">
        <v>48</v>
      </c>
      <c r="B36" s="1" t="s">
        <v>6</v>
      </c>
      <c r="C36" s="1" t="s">
        <v>8</v>
      </c>
      <c r="D36" s="1" t="s">
        <v>1</v>
      </c>
      <c r="E36" s="1">
        <v>6719</v>
      </c>
      <c r="F36" s="2"/>
    </row>
    <row r="37" spans="1:6" ht="22.5" customHeight="1">
      <c r="A37" s="1">
        <v>49</v>
      </c>
      <c r="B37" s="1" t="s">
        <v>6</v>
      </c>
      <c r="C37" s="1" t="s">
        <v>8</v>
      </c>
      <c r="D37" s="1" t="s">
        <v>1</v>
      </c>
      <c r="E37" s="1">
        <v>21816</v>
      </c>
      <c r="F37" s="2"/>
    </row>
    <row r="38" spans="1:6" ht="22.5" customHeight="1">
      <c r="A38" s="1">
        <v>51</v>
      </c>
      <c r="B38" s="1" t="s">
        <v>6</v>
      </c>
      <c r="C38" s="1" t="s">
        <v>8</v>
      </c>
      <c r="D38" s="1" t="s">
        <v>1</v>
      </c>
      <c r="E38" s="1">
        <v>12341</v>
      </c>
      <c r="F38" s="2"/>
    </row>
    <row r="39" spans="1:6" ht="22.5" customHeight="1">
      <c r="A39" s="1">
        <v>52</v>
      </c>
      <c r="B39" s="1" t="s">
        <v>6</v>
      </c>
      <c r="C39" s="1" t="s">
        <v>8</v>
      </c>
      <c r="D39" s="1" t="s">
        <v>1</v>
      </c>
      <c r="E39" s="1">
        <v>15684</v>
      </c>
      <c r="F39" s="2"/>
    </row>
    <row r="40" spans="1:6" ht="22.5" customHeight="1">
      <c r="A40" s="1">
        <v>53</v>
      </c>
      <c r="B40" s="1" t="s">
        <v>6</v>
      </c>
      <c r="C40" s="1" t="s">
        <v>8</v>
      </c>
      <c r="D40" s="1" t="s">
        <v>1</v>
      </c>
      <c r="E40" s="1">
        <v>15251</v>
      </c>
      <c r="F40" s="2"/>
    </row>
    <row r="41" spans="1:6" ht="22.5" customHeight="1">
      <c r="A41" s="1">
        <v>54</v>
      </c>
      <c r="B41" s="1" t="s">
        <v>6</v>
      </c>
      <c r="C41" s="1" t="s">
        <v>8</v>
      </c>
      <c r="D41" s="1" t="s">
        <v>1</v>
      </c>
      <c r="E41" s="1">
        <v>8945</v>
      </c>
      <c r="F41" s="2"/>
    </row>
    <row r="42" spans="1:6" ht="22.5" customHeight="1">
      <c r="A42" s="1">
        <v>55</v>
      </c>
      <c r="B42" s="1" t="s">
        <v>6</v>
      </c>
      <c r="C42" s="1" t="s">
        <v>8</v>
      </c>
      <c r="D42" s="1" t="s">
        <v>1</v>
      </c>
      <c r="E42" s="1">
        <v>13151</v>
      </c>
      <c r="F42" s="2"/>
    </row>
    <row r="43" spans="1:6" ht="22.5" customHeight="1">
      <c r="A43" s="1">
        <v>56</v>
      </c>
      <c r="B43" s="1" t="s">
        <v>6</v>
      </c>
      <c r="C43" s="1" t="s">
        <v>8</v>
      </c>
      <c r="D43" s="1" t="s">
        <v>1</v>
      </c>
      <c r="E43" s="1">
        <v>13724</v>
      </c>
      <c r="F43" s="2"/>
    </row>
    <row r="44" spans="1:6" ht="22.5" customHeight="1">
      <c r="A44" s="1">
        <v>57</v>
      </c>
      <c r="B44" s="1" t="s">
        <v>6</v>
      </c>
      <c r="C44" s="1" t="s">
        <v>8</v>
      </c>
      <c r="D44" s="1" t="s">
        <v>1</v>
      </c>
      <c r="E44" s="1">
        <v>20348</v>
      </c>
      <c r="F44" s="2"/>
    </row>
    <row r="45" spans="1:6" ht="22.5" customHeight="1">
      <c r="A45" s="1">
        <v>58</v>
      </c>
      <c r="B45" s="1" t="s">
        <v>6</v>
      </c>
      <c r="C45" s="1" t="s">
        <v>8</v>
      </c>
      <c r="D45" s="1" t="s">
        <v>1</v>
      </c>
      <c r="E45" s="1">
        <v>26673</v>
      </c>
      <c r="F45" s="2"/>
    </row>
    <row r="46" spans="1:6" ht="22.5" customHeight="1">
      <c r="A46" s="1">
        <v>59</v>
      </c>
      <c r="B46" s="1" t="s">
        <v>6</v>
      </c>
      <c r="C46" s="1" t="s">
        <v>8</v>
      </c>
      <c r="D46" s="1" t="s">
        <v>1</v>
      </c>
      <c r="E46" s="1">
        <v>27763</v>
      </c>
      <c r="F46" s="2"/>
    </row>
    <row r="47" spans="1:6" ht="22.5" customHeight="1">
      <c r="A47" s="1">
        <v>61</v>
      </c>
      <c r="B47" s="1" t="s">
        <v>6</v>
      </c>
      <c r="C47" s="1" t="s">
        <v>8</v>
      </c>
      <c r="D47" s="1" t="s">
        <v>1</v>
      </c>
      <c r="E47" s="1">
        <v>15322</v>
      </c>
      <c r="F47" s="2"/>
    </row>
    <row r="48" spans="1:6" ht="22.5" customHeight="1">
      <c r="A48" s="1">
        <v>62</v>
      </c>
      <c r="B48" s="1" t="s">
        <v>6</v>
      </c>
      <c r="C48" s="1" t="s">
        <v>8</v>
      </c>
      <c r="D48" s="1" t="s">
        <v>1</v>
      </c>
      <c r="E48" s="1">
        <v>13563</v>
      </c>
      <c r="F48" s="2"/>
    </row>
    <row r="49" spans="1:6" ht="22.5" customHeight="1">
      <c r="A49" s="1">
        <v>63</v>
      </c>
      <c r="B49" s="1" t="s">
        <v>6</v>
      </c>
      <c r="C49" s="1" t="s">
        <v>8</v>
      </c>
      <c r="D49" s="1" t="s">
        <v>1</v>
      </c>
      <c r="E49" s="1">
        <v>25586</v>
      </c>
      <c r="F49" s="2"/>
    </row>
    <row r="50" spans="1:6" ht="22.5" customHeight="1">
      <c r="A50" s="1">
        <v>64</v>
      </c>
      <c r="B50" s="1" t="s">
        <v>6</v>
      </c>
      <c r="C50" s="1" t="s">
        <v>8</v>
      </c>
      <c r="D50" s="1" t="s">
        <v>1</v>
      </c>
      <c r="E50" s="1">
        <v>10263</v>
      </c>
      <c r="F50" s="2"/>
    </row>
    <row r="51" spans="1:6" ht="22.5" customHeight="1">
      <c r="A51" s="1">
        <v>65</v>
      </c>
      <c r="B51" s="1" t="s">
        <v>6</v>
      </c>
      <c r="C51" s="1" t="s">
        <v>8</v>
      </c>
      <c r="D51" s="1" t="s">
        <v>1</v>
      </c>
      <c r="E51" s="1">
        <v>5232</v>
      </c>
      <c r="F51" s="2"/>
    </row>
    <row r="52" spans="1:6" ht="22.5" customHeight="1">
      <c r="A52" s="1">
        <v>66</v>
      </c>
      <c r="B52" s="1" t="s">
        <v>6</v>
      </c>
      <c r="C52" s="1" t="s">
        <v>8</v>
      </c>
      <c r="D52" s="1" t="s">
        <v>1</v>
      </c>
      <c r="E52" s="1">
        <v>9376</v>
      </c>
      <c r="F52" s="2"/>
    </row>
    <row r="53" spans="1:6" ht="22.5" customHeight="1">
      <c r="A53" s="1">
        <v>67</v>
      </c>
      <c r="B53" s="1" t="s">
        <v>6</v>
      </c>
      <c r="C53" s="1" t="s">
        <v>8</v>
      </c>
      <c r="D53" s="1" t="s">
        <v>1</v>
      </c>
      <c r="E53" s="1">
        <v>11267</v>
      </c>
      <c r="F53" s="2"/>
    </row>
    <row r="54" spans="1:6" ht="22.5" customHeight="1">
      <c r="A54" s="1">
        <v>68</v>
      </c>
      <c r="B54" s="1" t="s">
        <v>6</v>
      </c>
      <c r="C54" s="1" t="s">
        <v>8</v>
      </c>
      <c r="D54" s="1" t="s">
        <v>1</v>
      </c>
      <c r="E54" s="1">
        <v>20697</v>
      </c>
      <c r="F54" s="2"/>
    </row>
    <row r="55" spans="1:6" ht="22.5" customHeight="1">
      <c r="A55" s="1">
        <v>69</v>
      </c>
      <c r="B55" s="1" t="s">
        <v>6</v>
      </c>
      <c r="C55" s="1" t="s">
        <v>8</v>
      </c>
      <c r="D55" s="1" t="s">
        <v>1</v>
      </c>
      <c r="E55" s="1">
        <v>13536</v>
      </c>
      <c r="F55" s="2"/>
    </row>
    <row r="56" spans="1:6" ht="22.5" customHeight="1">
      <c r="A56" s="1">
        <v>71</v>
      </c>
      <c r="B56" s="1" t="s">
        <v>6</v>
      </c>
      <c r="C56" s="1" t="s">
        <v>7</v>
      </c>
      <c r="D56" s="1" t="s">
        <v>1</v>
      </c>
      <c r="E56" s="1">
        <v>16231</v>
      </c>
      <c r="F56" s="2"/>
    </row>
    <row r="57" spans="1:6" ht="22.5" customHeight="1">
      <c r="A57" s="1">
        <v>72</v>
      </c>
      <c r="B57" s="1" t="s">
        <v>6</v>
      </c>
      <c r="C57" s="1" t="s">
        <v>7</v>
      </c>
      <c r="D57" s="1" t="s">
        <v>1</v>
      </c>
      <c r="E57" s="1">
        <v>48664</v>
      </c>
      <c r="F57" s="2"/>
    </row>
    <row r="58" spans="1:6" ht="22.5" customHeight="1">
      <c r="A58" s="1">
        <v>73</v>
      </c>
      <c r="B58" s="1" t="s">
        <v>6</v>
      </c>
      <c r="C58" s="1" t="s">
        <v>7</v>
      </c>
      <c r="D58" s="1" t="s">
        <v>1</v>
      </c>
      <c r="E58" s="1">
        <v>14684</v>
      </c>
      <c r="F58" s="2"/>
    </row>
    <row r="59" spans="1:6" ht="22.5" customHeight="1">
      <c r="A59" s="1">
        <v>74</v>
      </c>
      <c r="B59" s="1" t="s">
        <v>6</v>
      </c>
      <c r="C59" s="1" t="s">
        <v>7</v>
      </c>
      <c r="D59" s="1" t="s">
        <v>1</v>
      </c>
      <c r="E59" s="1">
        <v>7272</v>
      </c>
      <c r="F59" s="2"/>
    </row>
    <row r="60" spans="1:6" ht="22.5" customHeight="1">
      <c r="A60" s="1">
        <v>75</v>
      </c>
      <c r="B60" s="1" t="s">
        <v>6</v>
      </c>
      <c r="C60" s="1" t="s">
        <v>7</v>
      </c>
      <c r="D60" s="1" t="s">
        <v>1</v>
      </c>
      <c r="E60" s="1">
        <v>27020</v>
      </c>
      <c r="F60" s="2"/>
    </row>
    <row r="61" spans="1:6" ht="22.5" customHeight="1">
      <c r="A61" s="1">
        <v>76</v>
      </c>
      <c r="B61" s="1" t="s">
        <v>6</v>
      </c>
      <c r="C61" s="1" t="s">
        <v>7</v>
      </c>
      <c r="D61" s="1" t="s">
        <v>1</v>
      </c>
      <c r="E61" s="1">
        <v>21448</v>
      </c>
      <c r="F61" s="2"/>
    </row>
    <row r="62" spans="1:6" ht="22.5" customHeight="1">
      <c r="A62" s="1">
        <v>77</v>
      </c>
      <c r="B62" s="1" t="s">
        <v>6</v>
      </c>
      <c r="C62" s="1" t="s">
        <v>8</v>
      </c>
      <c r="D62" s="1" t="s">
        <v>1</v>
      </c>
      <c r="E62" s="1">
        <v>16666</v>
      </c>
      <c r="F62" s="2"/>
    </row>
    <row r="63" spans="1:6" ht="22.5" customHeight="1">
      <c r="A63" s="1">
        <v>78</v>
      </c>
      <c r="B63" s="1" t="s">
        <v>6</v>
      </c>
      <c r="C63" s="1" t="s">
        <v>8</v>
      </c>
      <c r="D63" s="1" t="s">
        <v>1</v>
      </c>
      <c r="E63" s="1">
        <v>11405</v>
      </c>
      <c r="F63" s="2"/>
    </row>
    <row r="64" spans="1:6" ht="22.5" customHeight="1">
      <c r="A64" s="1">
        <v>79</v>
      </c>
      <c r="B64" s="1" t="s">
        <v>6</v>
      </c>
      <c r="C64" s="1" t="s">
        <v>8</v>
      </c>
      <c r="D64" s="1" t="s">
        <v>1</v>
      </c>
      <c r="E64" s="1">
        <v>21457</v>
      </c>
      <c r="F64" s="2"/>
    </row>
    <row r="65" spans="1:6" ht="22.5" customHeight="1">
      <c r="A65" s="1">
        <v>81</v>
      </c>
      <c r="B65" s="1" t="s">
        <v>6</v>
      </c>
      <c r="C65" s="1" t="s">
        <v>7</v>
      </c>
      <c r="D65" s="1" t="s">
        <v>1</v>
      </c>
      <c r="E65" s="1">
        <v>15829</v>
      </c>
      <c r="F65" s="2"/>
    </row>
    <row r="66" spans="1:6" ht="22.5" customHeight="1">
      <c r="A66" s="1">
        <v>82</v>
      </c>
      <c r="B66" s="1" t="s">
        <v>6</v>
      </c>
      <c r="C66" s="1" t="s">
        <v>8</v>
      </c>
      <c r="D66" s="1" t="s">
        <v>1</v>
      </c>
      <c r="E66" s="1">
        <v>22089</v>
      </c>
      <c r="F66" s="2"/>
    </row>
    <row r="67" spans="1:6" ht="22.5" customHeight="1">
      <c r="A67" s="1">
        <v>83</v>
      </c>
      <c r="B67" s="1" t="s">
        <v>6</v>
      </c>
      <c r="C67" s="1" t="s">
        <v>8</v>
      </c>
      <c r="D67" s="1" t="s">
        <v>1</v>
      </c>
      <c r="E67" s="1">
        <v>27789</v>
      </c>
      <c r="F67" s="2"/>
    </row>
    <row r="68" spans="1:6" ht="22.5" customHeight="1">
      <c r="A68" s="1">
        <v>84</v>
      </c>
      <c r="B68" s="1" t="s">
        <v>6</v>
      </c>
      <c r="C68" s="1" t="s">
        <v>7</v>
      </c>
      <c r="D68" s="1" t="s">
        <v>1</v>
      </c>
      <c r="E68" s="1">
        <v>7834</v>
      </c>
      <c r="F68" s="2"/>
    </row>
    <row r="69" spans="1:6" ht="22.5" customHeight="1">
      <c r="A69" s="1">
        <v>85</v>
      </c>
      <c r="B69" s="1" t="s">
        <v>6</v>
      </c>
      <c r="C69" s="1" t="s">
        <v>7</v>
      </c>
      <c r="D69" s="1" t="s">
        <v>1</v>
      </c>
      <c r="E69" s="1">
        <v>40743</v>
      </c>
      <c r="F69" s="2"/>
    </row>
    <row r="70" spans="1:6" ht="22.5" customHeight="1">
      <c r="A70" s="1">
        <v>86</v>
      </c>
      <c r="B70" s="1" t="s">
        <v>6</v>
      </c>
      <c r="C70" s="1" t="s">
        <v>7</v>
      </c>
      <c r="D70" s="1" t="s">
        <v>1</v>
      </c>
      <c r="E70" s="1">
        <v>40374</v>
      </c>
      <c r="F70" s="2"/>
    </row>
    <row r="71" spans="1:6" ht="22.5" customHeight="1">
      <c r="A71" s="1">
        <v>87</v>
      </c>
      <c r="B71" s="1" t="s">
        <v>6</v>
      </c>
      <c r="C71" s="1" t="s">
        <v>8</v>
      </c>
      <c r="D71" s="1" t="s">
        <v>1</v>
      </c>
      <c r="E71" s="1">
        <v>11321</v>
      </c>
      <c r="F71" s="2"/>
    </row>
    <row r="72" spans="1:6" ht="22.5" customHeight="1">
      <c r="A72" s="1">
        <v>88</v>
      </c>
      <c r="B72" s="1" t="s">
        <v>6</v>
      </c>
      <c r="C72" s="1" t="s">
        <v>8</v>
      </c>
      <c r="D72" s="1" t="s">
        <v>1</v>
      </c>
      <c r="E72" s="1">
        <v>9931</v>
      </c>
      <c r="F72" s="2"/>
    </row>
    <row r="73" spans="1:6" ht="22.5" customHeight="1">
      <c r="A73" s="1">
        <v>89</v>
      </c>
      <c r="B73" s="1" t="s">
        <v>6</v>
      </c>
      <c r="C73" s="1" t="s">
        <v>8</v>
      </c>
      <c r="D73" s="1" t="s">
        <v>1</v>
      </c>
      <c r="E73" s="1">
        <v>7160</v>
      </c>
      <c r="F73" s="2"/>
    </row>
    <row r="74" spans="1:6" ht="22.5" customHeight="1">
      <c r="A74" s="15">
        <v>91</v>
      </c>
      <c r="B74" s="1" t="s">
        <v>6</v>
      </c>
      <c r="C74" s="1"/>
      <c r="D74" s="1" t="s">
        <v>1</v>
      </c>
      <c r="E74" s="1"/>
      <c r="F74" s="2"/>
    </row>
    <row r="75" spans="1:6" ht="22.5" customHeight="1">
      <c r="A75" s="1">
        <v>92</v>
      </c>
      <c r="B75" s="1" t="s">
        <v>6</v>
      </c>
      <c r="C75" s="1" t="s">
        <v>8</v>
      </c>
      <c r="D75" s="1" t="s">
        <v>1</v>
      </c>
      <c r="E75" s="1">
        <v>22570</v>
      </c>
      <c r="F75" s="2"/>
    </row>
    <row r="76" spans="1:6" ht="22.5" customHeight="1">
      <c r="A76" s="1">
        <v>93</v>
      </c>
      <c r="B76" s="1" t="s">
        <v>6</v>
      </c>
      <c r="C76" s="1" t="s">
        <v>8</v>
      </c>
      <c r="D76" s="1" t="s">
        <v>1</v>
      </c>
      <c r="E76" s="1">
        <v>16185</v>
      </c>
      <c r="F76" s="2"/>
    </row>
    <row r="77" spans="1:6" ht="22.5" customHeight="1">
      <c r="A77" s="1">
        <v>94</v>
      </c>
      <c r="B77" s="1" t="s">
        <v>6</v>
      </c>
      <c r="C77" s="1" t="s">
        <v>7</v>
      </c>
      <c r="D77" s="1" t="s">
        <v>1</v>
      </c>
      <c r="E77" s="1">
        <v>29716</v>
      </c>
      <c r="F77" s="2"/>
    </row>
    <row r="78" spans="1:6" ht="22.5" customHeight="1">
      <c r="A78" s="1">
        <v>95</v>
      </c>
      <c r="B78" s="1" t="s">
        <v>6</v>
      </c>
      <c r="C78" s="1" t="s">
        <v>7</v>
      </c>
      <c r="D78" s="1" t="s">
        <v>1</v>
      </c>
      <c r="E78" s="1">
        <v>29601</v>
      </c>
      <c r="F78" s="2"/>
    </row>
    <row r="79" spans="1:6" ht="22.5" customHeight="1">
      <c r="A79" s="1">
        <v>96</v>
      </c>
      <c r="B79" s="1" t="s">
        <v>6</v>
      </c>
      <c r="C79" s="1" t="s">
        <v>7</v>
      </c>
      <c r="D79" s="1" t="s">
        <v>1</v>
      </c>
      <c r="E79" s="1">
        <v>34389</v>
      </c>
      <c r="F79" s="2"/>
    </row>
    <row r="80" spans="1:6" ht="22.5" customHeight="1">
      <c r="A80" s="1">
        <v>97</v>
      </c>
      <c r="B80" s="1" t="s">
        <v>6</v>
      </c>
      <c r="C80" s="1" t="s">
        <v>8</v>
      </c>
      <c r="D80" s="1" t="s">
        <v>1</v>
      </c>
      <c r="E80" s="1">
        <v>24843</v>
      </c>
      <c r="F80" s="2"/>
    </row>
    <row r="81" spans="1:6" ht="22.5" customHeight="1">
      <c r="A81" s="1">
        <v>98</v>
      </c>
      <c r="B81" s="1" t="s">
        <v>6</v>
      </c>
      <c r="C81" s="1" t="s">
        <v>8</v>
      </c>
      <c r="D81" s="1" t="s">
        <v>1</v>
      </c>
      <c r="E81" s="1">
        <v>20356</v>
      </c>
      <c r="F81" s="2"/>
    </row>
    <row r="82" spans="1:6" ht="22.5" customHeight="1">
      <c r="A82" s="1">
        <v>99</v>
      </c>
      <c r="B82" s="1" t="s">
        <v>6</v>
      </c>
      <c r="C82" s="1" t="s">
        <v>8</v>
      </c>
      <c r="D82" s="1" t="s">
        <v>1</v>
      </c>
      <c r="E82" s="1">
        <v>35557</v>
      </c>
      <c r="F82" s="2"/>
    </row>
  </sheetData>
  <phoneticPr fontId="1"/>
  <pageMargins left="0.25" right="0.25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15CFE-EAF5-4220-98E2-3A7E62C65AFB}">
  <dimension ref="A1:F82"/>
  <sheetViews>
    <sheetView topLeftCell="A82" workbookViewId="0">
      <selection activeCell="E2" sqref="E2:E82"/>
    </sheetView>
  </sheetViews>
  <sheetFormatPr defaultRowHeight="22.5" customHeight="1"/>
  <cols>
    <col min="1" max="1" width="8.6640625" style="3"/>
    <col min="2" max="4" width="15" style="3" customWidth="1"/>
    <col min="5" max="5" width="9.1640625" style="3" customWidth="1"/>
    <col min="6" max="6" width="69.4140625" customWidth="1"/>
  </cols>
  <sheetData>
    <row r="1" spans="1:6" ht="22.5" customHeight="1">
      <c r="A1" s="1"/>
      <c r="B1" s="1" t="s">
        <v>15</v>
      </c>
      <c r="C1" s="1" t="s">
        <v>16</v>
      </c>
      <c r="D1" s="1" t="s">
        <v>14</v>
      </c>
      <c r="E1" s="1" t="s">
        <v>11</v>
      </c>
      <c r="F1" s="1" t="s">
        <v>10</v>
      </c>
    </row>
    <row r="2" spans="1:6" ht="22.5" customHeight="1">
      <c r="A2" s="15">
        <v>11</v>
      </c>
      <c r="B2" s="1" t="s">
        <v>24</v>
      </c>
      <c r="C2" s="1" t="s">
        <v>8</v>
      </c>
      <c r="D2" s="1" t="s">
        <v>0</v>
      </c>
      <c r="E2" s="1"/>
      <c r="F2" s="2"/>
    </row>
    <row r="3" spans="1:6" ht="22.5" customHeight="1">
      <c r="A3" s="1">
        <v>12</v>
      </c>
      <c r="B3" s="1" t="s">
        <v>24</v>
      </c>
      <c r="C3" s="1" t="s">
        <v>7</v>
      </c>
      <c r="D3" s="1" t="s">
        <v>0</v>
      </c>
      <c r="E3" s="1"/>
      <c r="F3" s="2"/>
    </row>
    <row r="4" spans="1:6" ht="22.5" customHeight="1">
      <c r="A4" s="1">
        <v>13</v>
      </c>
      <c r="B4" s="1" t="s">
        <v>24</v>
      </c>
      <c r="C4" s="1" t="s">
        <v>7</v>
      </c>
      <c r="D4" s="1" t="s">
        <v>0</v>
      </c>
      <c r="E4" s="1">
        <v>29572</v>
      </c>
      <c r="F4" s="2"/>
    </row>
    <row r="5" spans="1:6" ht="22.5" customHeight="1">
      <c r="A5" s="1">
        <v>14</v>
      </c>
      <c r="B5" s="1" t="s">
        <v>24</v>
      </c>
      <c r="C5" s="1" t="s">
        <v>7</v>
      </c>
      <c r="D5" s="1" t="s">
        <v>0</v>
      </c>
      <c r="E5" s="1">
        <v>16515</v>
      </c>
      <c r="F5" s="2"/>
    </row>
    <row r="6" spans="1:6" ht="22.5" customHeight="1">
      <c r="A6" s="1">
        <v>15</v>
      </c>
      <c r="B6" s="1" t="s">
        <v>24</v>
      </c>
      <c r="C6" s="1" t="s">
        <v>7</v>
      </c>
      <c r="D6" s="1" t="s">
        <v>0</v>
      </c>
      <c r="E6" s="1">
        <v>24330</v>
      </c>
      <c r="F6" s="2"/>
    </row>
    <row r="7" spans="1:6" ht="22.5" customHeight="1">
      <c r="A7" s="1">
        <v>16</v>
      </c>
      <c r="B7" s="1" t="s">
        <v>24</v>
      </c>
      <c r="C7" s="1" t="s">
        <v>7</v>
      </c>
      <c r="D7" s="1" t="s">
        <v>0</v>
      </c>
      <c r="E7" s="1">
        <v>37269</v>
      </c>
      <c r="F7" s="2"/>
    </row>
    <row r="8" spans="1:6" ht="22.5" customHeight="1">
      <c r="A8" s="1">
        <v>17</v>
      </c>
      <c r="B8" s="1" t="s">
        <v>24</v>
      </c>
      <c r="C8" s="1" t="s">
        <v>7</v>
      </c>
      <c r="D8" s="1" t="s">
        <v>0</v>
      </c>
      <c r="E8" s="1">
        <v>14436</v>
      </c>
      <c r="F8" s="2"/>
    </row>
    <row r="9" spans="1:6" ht="22.5" customHeight="1">
      <c r="A9" s="1">
        <v>18</v>
      </c>
      <c r="B9" s="1" t="s">
        <v>24</v>
      </c>
      <c r="C9" s="1" t="s">
        <v>7</v>
      </c>
      <c r="D9" s="1" t="s">
        <v>0</v>
      </c>
      <c r="E9" s="1">
        <v>33882</v>
      </c>
      <c r="F9" s="2"/>
    </row>
    <row r="10" spans="1:6" ht="22.5" customHeight="1">
      <c r="A10" s="1">
        <v>19</v>
      </c>
      <c r="B10" s="1" t="s">
        <v>24</v>
      </c>
      <c r="C10" s="1" t="s">
        <v>7</v>
      </c>
      <c r="D10" s="1" t="s">
        <v>0</v>
      </c>
      <c r="E10" s="1">
        <v>11037</v>
      </c>
      <c r="F10" s="2"/>
    </row>
    <row r="11" spans="1:6" ht="22.5" customHeight="1">
      <c r="A11" s="1">
        <v>21</v>
      </c>
      <c r="B11" s="1" t="s">
        <v>24</v>
      </c>
      <c r="C11" s="1" t="s">
        <v>7</v>
      </c>
      <c r="D11" s="1" t="s">
        <v>0</v>
      </c>
      <c r="E11" s="1">
        <v>7659</v>
      </c>
      <c r="F11" s="2"/>
    </row>
    <row r="12" spans="1:6" ht="22.5" customHeight="1">
      <c r="A12" s="1">
        <v>22</v>
      </c>
      <c r="B12" s="1" t="s">
        <v>24</v>
      </c>
      <c r="C12" s="1" t="s">
        <v>7</v>
      </c>
      <c r="D12" s="1" t="s">
        <v>0</v>
      </c>
      <c r="E12" s="1">
        <v>14476</v>
      </c>
      <c r="F12" s="2"/>
    </row>
    <row r="13" spans="1:6" ht="22.5" customHeight="1">
      <c r="A13" s="1">
        <v>23</v>
      </c>
      <c r="B13" s="1" t="s">
        <v>24</v>
      </c>
      <c r="C13" s="1" t="s">
        <v>7</v>
      </c>
      <c r="D13" s="1" t="s">
        <v>0</v>
      </c>
      <c r="E13" s="1">
        <v>14549</v>
      </c>
      <c r="F13" s="2"/>
    </row>
    <row r="14" spans="1:6" ht="22.5" customHeight="1">
      <c r="A14" s="1">
        <v>24</v>
      </c>
      <c r="B14" s="1" t="s">
        <v>24</v>
      </c>
      <c r="C14" s="1" t="s">
        <v>7</v>
      </c>
      <c r="D14" s="1" t="s">
        <v>0</v>
      </c>
      <c r="E14" s="1">
        <v>10314</v>
      </c>
      <c r="F14" s="2"/>
    </row>
    <row r="15" spans="1:6" ht="22.5" customHeight="1">
      <c r="A15" s="1">
        <v>25</v>
      </c>
      <c r="B15" s="1" t="s">
        <v>24</v>
      </c>
      <c r="C15" s="1" t="s">
        <v>7</v>
      </c>
      <c r="D15" s="1" t="s">
        <v>0</v>
      </c>
      <c r="E15" s="1">
        <v>38266</v>
      </c>
      <c r="F15" s="2"/>
    </row>
    <row r="16" spans="1:6" ht="22.5" customHeight="1">
      <c r="A16" s="1">
        <v>26</v>
      </c>
      <c r="B16" s="1" t="s">
        <v>24</v>
      </c>
      <c r="C16" s="1" t="s">
        <v>7</v>
      </c>
      <c r="D16" s="1" t="s">
        <v>0</v>
      </c>
      <c r="E16" s="1">
        <v>7781</v>
      </c>
      <c r="F16" s="2"/>
    </row>
    <row r="17" spans="1:6" ht="22.5" customHeight="1">
      <c r="A17" s="1">
        <v>27</v>
      </c>
      <c r="B17" s="1" t="s">
        <v>24</v>
      </c>
      <c r="C17" s="1" t="s">
        <v>7</v>
      </c>
      <c r="D17" s="1" t="s">
        <v>0</v>
      </c>
      <c r="E17" s="1">
        <v>10232</v>
      </c>
      <c r="F17" s="2"/>
    </row>
    <row r="18" spans="1:6" ht="22.5" customHeight="1">
      <c r="A18" s="1">
        <v>28</v>
      </c>
      <c r="B18" s="1" t="s">
        <v>24</v>
      </c>
      <c r="C18" s="1" t="s">
        <v>7</v>
      </c>
      <c r="D18" s="1" t="s">
        <v>0</v>
      </c>
      <c r="E18" s="1">
        <v>18321</v>
      </c>
      <c r="F18" s="2"/>
    </row>
    <row r="19" spans="1:6" ht="22.5" customHeight="1">
      <c r="A19" s="1">
        <v>29</v>
      </c>
      <c r="B19" s="1" t="s">
        <v>24</v>
      </c>
      <c r="C19" s="1" t="s">
        <v>7</v>
      </c>
      <c r="D19" s="1" t="s">
        <v>0</v>
      </c>
      <c r="E19" s="1">
        <v>17502</v>
      </c>
      <c r="F19" s="2"/>
    </row>
    <row r="20" spans="1:6" ht="22.5" customHeight="1">
      <c r="A20" s="1">
        <v>31</v>
      </c>
      <c r="B20" s="1" t="s">
        <v>24</v>
      </c>
      <c r="C20" s="1" t="s">
        <v>7</v>
      </c>
      <c r="D20" s="1" t="s">
        <v>0</v>
      </c>
      <c r="E20" s="1">
        <v>15477</v>
      </c>
      <c r="F20" s="2"/>
    </row>
    <row r="21" spans="1:6" ht="22.5" customHeight="1">
      <c r="A21" s="1">
        <v>32</v>
      </c>
      <c r="B21" s="1" t="s">
        <v>24</v>
      </c>
      <c r="C21" s="1" t="s">
        <v>7</v>
      </c>
      <c r="D21" s="1" t="s">
        <v>0</v>
      </c>
      <c r="E21" s="1">
        <v>29918</v>
      </c>
      <c r="F21" s="2"/>
    </row>
    <row r="22" spans="1:6" ht="22.5" customHeight="1">
      <c r="A22" s="1">
        <v>33</v>
      </c>
      <c r="B22" s="1" t="s">
        <v>24</v>
      </c>
      <c r="C22" s="1" t="s">
        <v>7</v>
      </c>
      <c r="D22" s="1" t="s">
        <v>0</v>
      </c>
      <c r="E22" s="1">
        <v>8876</v>
      </c>
      <c r="F22" s="2"/>
    </row>
    <row r="23" spans="1:6" ht="22.5" customHeight="1">
      <c r="A23" s="1">
        <v>34</v>
      </c>
      <c r="B23" s="1" t="s">
        <v>24</v>
      </c>
      <c r="C23" s="1" t="s">
        <v>7</v>
      </c>
      <c r="D23" s="1" t="s">
        <v>0</v>
      </c>
      <c r="E23" s="1">
        <v>19152</v>
      </c>
      <c r="F23" s="2"/>
    </row>
    <row r="24" spans="1:6" ht="22.5" customHeight="1">
      <c r="A24" s="1">
        <v>35</v>
      </c>
      <c r="B24" s="1" t="s">
        <v>24</v>
      </c>
      <c r="C24" s="1" t="s">
        <v>7</v>
      </c>
      <c r="D24" s="1" t="s">
        <v>0</v>
      </c>
      <c r="E24" s="1">
        <v>13746</v>
      </c>
      <c r="F24" s="2"/>
    </row>
    <row r="25" spans="1:6" ht="22.5" customHeight="1">
      <c r="A25" s="1">
        <v>36</v>
      </c>
      <c r="B25" s="1" t="s">
        <v>24</v>
      </c>
      <c r="C25" s="1" t="s">
        <v>7</v>
      </c>
      <c r="D25" s="1" t="s">
        <v>0</v>
      </c>
      <c r="E25" s="1">
        <v>17466</v>
      </c>
      <c r="F25" s="2"/>
    </row>
    <row r="26" spans="1:6" ht="22.5" customHeight="1">
      <c r="A26" s="1">
        <v>37</v>
      </c>
      <c r="B26" s="1" t="s">
        <v>24</v>
      </c>
      <c r="C26" s="1" t="s">
        <v>7</v>
      </c>
      <c r="D26" s="1" t="s">
        <v>0</v>
      </c>
      <c r="E26" s="1">
        <v>45065</v>
      </c>
      <c r="F26" s="2"/>
    </row>
    <row r="27" spans="1:6" ht="22.5" customHeight="1">
      <c r="A27" s="1">
        <v>38</v>
      </c>
      <c r="B27" s="1" t="s">
        <v>24</v>
      </c>
      <c r="C27" s="1" t="s">
        <v>7</v>
      </c>
      <c r="D27" s="1" t="s">
        <v>0</v>
      </c>
      <c r="E27" s="1">
        <v>10247</v>
      </c>
      <c r="F27" s="2"/>
    </row>
    <row r="28" spans="1:6" ht="22.5" customHeight="1">
      <c r="A28" s="1">
        <v>39</v>
      </c>
      <c r="B28" s="1" t="s">
        <v>24</v>
      </c>
      <c r="C28" s="1" t="s">
        <v>7</v>
      </c>
      <c r="D28" s="1" t="s">
        <v>0</v>
      </c>
      <c r="E28" s="1">
        <v>11685</v>
      </c>
      <c r="F28" s="2"/>
    </row>
    <row r="29" spans="1:6" ht="22.5" customHeight="1">
      <c r="A29" s="1">
        <v>41</v>
      </c>
      <c r="B29" s="1" t="s">
        <v>23</v>
      </c>
      <c r="C29" s="1" t="s">
        <v>7</v>
      </c>
      <c r="D29" s="1" t="s">
        <v>0</v>
      </c>
      <c r="E29" s="1">
        <v>16333</v>
      </c>
      <c r="F29" s="2"/>
    </row>
    <row r="30" spans="1:6" ht="22.5" customHeight="1">
      <c r="A30" s="1">
        <v>42</v>
      </c>
      <c r="B30" s="1" t="s">
        <v>23</v>
      </c>
      <c r="C30" s="1" t="s">
        <v>7</v>
      </c>
      <c r="D30" s="1" t="s">
        <v>0</v>
      </c>
      <c r="E30" s="1">
        <v>25150</v>
      </c>
      <c r="F30" s="2"/>
    </row>
    <row r="31" spans="1:6" ht="22.5" customHeight="1">
      <c r="A31" s="1">
        <v>43</v>
      </c>
      <c r="B31" s="1" t="s">
        <v>23</v>
      </c>
      <c r="C31" s="1" t="s">
        <v>7</v>
      </c>
      <c r="D31" s="1" t="s">
        <v>0</v>
      </c>
      <c r="E31" s="1">
        <v>14359</v>
      </c>
      <c r="F31" s="2"/>
    </row>
    <row r="32" spans="1:6" ht="22.5" customHeight="1">
      <c r="A32" s="1">
        <v>44</v>
      </c>
      <c r="B32" s="1" t="s">
        <v>23</v>
      </c>
      <c r="C32" s="1" t="s">
        <v>7</v>
      </c>
      <c r="D32" s="1" t="s">
        <v>0</v>
      </c>
      <c r="E32" s="1">
        <v>5218</v>
      </c>
      <c r="F32" s="2"/>
    </row>
    <row r="33" spans="1:6" ht="22.5" customHeight="1">
      <c r="A33" s="1">
        <v>45</v>
      </c>
      <c r="B33" s="1" t="s">
        <v>23</v>
      </c>
      <c r="C33" s="1" t="s">
        <v>7</v>
      </c>
      <c r="D33" s="1" t="s">
        <v>0</v>
      </c>
      <c r="E33" s="1">
        <v>26710</v>
      </c>
      <c r="F33" s="2"/>
    </row>
    <row r="34" spans="1:6" ht="22.5" customHeight="1">
      <c r="A34" s="1">
        <v>46</v>
      </c>
      <c r="B34" s="1" t="s">
        <v>23</v>
      </c>
      <c r="C34" s="1" t="s">
        <v>7</v>
      </c>
      <c r="D34" s="1" t="s">
        <v>0</v>
      </c>
      <c r="E34" s="1">
        <v>14840</v>
      </c>
      <c r="F34" s="2"/>
    </row>
    <row r="35" spans="1:6" ht="22.5" customHeight="1">
      <c r="A35" s="1">
        <v>47</v>
      </c>
      <c r="B35" s="1" t="s">
        <v>23</v>
      </c>
      <c r="C35" s="1" t="s">
        <v>7</v>
      </c>
      <c r="D35" s="1" t="s">
        <v>0</v>
      </c>
      <c r="E35" s="1">
        <v>14191</v>
      </c>
      <c r="F35" s="2"/>
    </row>
    <row r="36" spans="1:6" ht="22.5" customHeight="1">
      <c r="A36" s="1">
        <v>48</v>
      </c>
      <c r="B36" s="1" t="s">
        <v>23</v>
      </c>
      <c r="C36" s="1" t="s">
        <v>7</v>
      </c>
      <c r="D36" s="1" t="s">
        <v>0</v>
      </c>
      <c r="E36" s="1">
        <v>19994</v>
      </c>
      <c r="F36" s="2"/>
    </row>
    <row r="37" spans="1:6" ht="22.5" customHeight="1">
      <c r="A37" s="1">
        <v>49</v>
      </c>
      <c r="B37" s="1" t="s">
        <v>23</v>
      </c>
      <c r="C37" s="1" t="s">
        <v>7</v>
      </c>
      <c r="D37" s="1" t="s">
        <v>0</v>
      </c>
      <c r="E37" s="1">
        <v>12735</v>
      </c>
      <c r="F37" s="2"/>
    </row>
    <row r="38" spans="1:6" ht="22.5" customHeight="1">
      <c r="A38" s="1">
        <v>51</v>
      </c>
      <c r="B38" s="1" t="s">
        <v>23</v>
      </c>
      <c r="C38" s="1" t="s">
        <v>7</v>
      </c>
      <c r="D38" s="1" t="s">
        <v>0</v>
      </c>
      <c r="E38" s="1">
        <v>10972</v>
      </c>
      <c r="F38" s="2"/>
    </row>
    <row r="39" spans="1:6" ht="22.5" customHeight="1">
      <c r="A39" s="1">
        <v>52</v>
      </c>
      <c r="B39" s="1" t="s">
        <v>23</v>
      </c>
      <c r="C39" s="1" t="s">
        <v>7</v>
      </c>
      <c r="D39" s="1" t="s">
        <v>0</v>
      </c>
      <c r="E39" s="1">
        <v>21473</v>
      </c>
      <c r="F39" s="2"/>
    </row>
    <row r="40" spans="1:6" ht="22.5" customHeight="1">
      <c r="A40" s="1">
        <v>53</v>
      </c>
      <c r="B40" s="1" t="s">
        <v>23</v>
      </c>
      <c r="C40" s="1" t="s">
        <v>7</v>
      </c>
      <c r="D40" s="1" t="s">
        <v>0</v>
      </c>
      <c r="E40" s="1">
        <v>9635</v>
      </c>
      <c r="F40" s="2"/>
    </row>
    <row r="41" spans="1:6" ht="22.5" customHeight="1">
      <c r="A41" s="1">
        <v>54</v>
      </c>
      <c r="B41" s="1" t="s">
        <v>23</v>
      </c>
      <c r="C41" s="1" t="s">
        <v>7</v>
      </c>
      <c r="D41" s="1" t="s">
        <v>0</v>
      </c>
      <c r="E41" s="1">
        <v>18856</v>
      </c>
      <c r="F41" s="2"/>
    </row>
    <row r="42" spans="1:6" ht="22.5" customHeight="1">
      <c r="A42" s="1">
        <v>55</v>
      </c>
      <c r="B42" s="1" t="s">
        <v>23</v>
      </c>
      <c r="C42" s="1" t="s">
        <v>7</v>
      </c>
      <c r="D42" s="1" t="s">
        <v>0</v>
      </c>
      <c r="E42" s="1">
        <v>7804</v>
      </c>
      <c r="F42" s="2"/>
    </row>
    <row r="43" spans="1:6" ht="22.5" customHeight="1">
      <c r="A43" s="1">
        <v>56</v>
      </c>
      <c r="B43" s="1" t="s">
        <v>23</v>
      </c>
      <c r="C43" s="1" t="s">
        <v>7</v>
      </c>
      <c r="D43" s="1" t="s">
        <v>0</v>
      </c>
      <c r="E43" s="1">
        <v>29305</v>
      </c>
      <c r="F43" s="2"/>
    </row>
    <row r="44" spans="1:6" ht="22.5" customHeight="1">
      <c r="A44" s="1">
        <v>57</v>
      </c>
      <c r="B44" s="1" t="s">
        <v>23</v>
      </c>
      <c r="C44" s="1" t="s">
        <v>7</v>
      </c>
      <c r="D44" s="1" t="s">
        <v>0</v>
      </c>
      <c r="E44" s="1">
        <v>8667</v>
      </c>
      <c r="F44" s="2"/>
    </row>
    <row r="45" spans="1:6" ht="22.5" customHeight="1">
      <c r="A45" s="1">
        <v>58</v>
      </c>
      <c r="B45" s="1" t="s">
        <v>23</v>
      </c>
      <c r="C45" s="1" t="s">
        <v>7</v>
      </c>
      <c r="D45" s="1" t="s">
        <v>0</v>
      </c>
      <c r="E45" s="1">
        <v>11530</v>
      </c>
      <c r="F45" s="2"/>
    </row>
    <row r="46" spans="1:6" ht="22.5" customHeight="1">
      <c r="A46" s="1">
        <v>59</v>
      </c>
      <c r="B46" s="1" t="s">
        <v>23</v>
      </c>
      <c r="C46" s="1" t="s">
        <v>7</v>
      </c>
      <c r="D46" s="1" t="s">
        <v>0</v>
      </c>
      <c r="E46" s="1">
        <v>29312</v>
      </c>
      <c r="F46" s="2"/>
    </row>
    <row r="47" spans="1:6" ht="22.5" customHeight="1">
      <c r="A47" s="1">
        <v>61</v>
      </c>
      <c r="B47" s="1" t="s">
        <v>23</v>
      </c>
      <c r="C47" s="1" t="s">
        <v>7</v>
      </c>
      <c r="D47" s="1" t="s">
        <v>0</v>
      </c>
      <c r="E47" s="1">
        <v>8586</v>
      </c>
      <c r="F47" s="2"/>
    </row>
    <row r="48" spans="1:6" ht="22.5" customHeight="1">
      <c r="A48" s="1">
        <v>62</v>
      </c>
      <c r="B48" s="1" t="s">
        <v>23</v>
      </c>
      <c r="C48" s="1" t="s">
        <v>7</v>
      </c>
      <c r="D48" s="1" t="s">
        <v>0</v>
      </c>
      <c r="E48" s="1">
        <v>13416</v>
      </c>
      <c r="F48" s="2"/>
    </row>
    <row r="49" spans="1:6" ht="22.5" customHeight="1">
      <c r="A49" s="1">
        <v>63</v>
      </c>
      <c r="B49" s="1" t="s">
        <v>23</v>
      </c>
      <c r="C49" s="1" t="s">
        <v>7</v>
      </c>
      <c r="D49" s="1" t="s">
        <v>0</v>
      </c>
      <c r="E49" s="1">
        <v>9704</v>
      </c>
      <c r="F49" s="2"/>
    </row>
    <row r="50" spans="1:6" ht="22.5" customHeight="1">
      <c r="A50" s="1">
        <v>64</v>
      </c>
      <c r="B50" s="1" t="s">
        <v>23</v>
      </c>
      <c r="C50" s="1" t="s">
        <v>7</v>
      </c>
      <c r="D50" s="1" t="s">
        <v>0</v>
      </c>
      <c r="E50" s="1"/>
      <c r="F50" s="2"/>
    </row>
    <row r="51" spans="1:6" ht="22.5" customHeight="1">
      <c r="A51" s="1">
        <v>65</v>
      </c>
      <c r="B51" s="1" t="s">
        <v>23</v>
      </c>
      <c r="C51" s="1" t="s">
        <v>7</v>
      </c>
      <c r="D51" s="1" t="s">
        <v>0</v>
      </c>
      <c r="E51" s="1"/>
      <c r="F51" s="2"/>
    </row>
    <row r="52" spans="1:6" ht="22.5" customHeight="1">
      <c r="A52" s="1">
        <v>66</v>
      </c>
      <c r="B52" s="1" t="s">
        <v>23</v>
      </c>
      <c r="C52" s="1" t="s">
        <v>7</v>
      </c>
      <c r="D52" s="1" t="s">
        <v>0</v>
      </c>
      <c r="E52" s="1">
        <v>37389</v>
      </c>
      <c r="F52" s="2"/>
    </row>
    <row r="53" spans="1:6" ht="22.5" customHeight="1">
      <c r="A53" s="1">
        <v>67</v>
      </c>
      <c r="B53" s="1" t="s">
        <v>23</v>
      </c>
      <c r="C53" s="1" t="s">
        <v>7</v>
      </c>
      <c r="D53" s="1" t="s">
        <v>0</v>
      </c>
      <c r="E53" s="1">
        <v>14366</v>
      </c>
      <c r="F53" s="2"/>
    </row>
    <row r="54" spans="1:6" ht="22.5" customHeight="1">
      <c r="A54" s="1">
        <v>68</v>
      </c>
      <c r="B54" s="1" t="s">
        <v>23</v>
      </c>
      <c r="C54" s="1" t="s">
        <v>7</v>
      </c>
      <c r="D54" s="1" t="s">
        <v>0</v>
      </c>
      <c r="E54" s="1">
        <v>16834</v>
      </c>
      <c r="F54" s="2"/>
    </row>
    <row r="55" spans="1:6" ht="22.5" customHeight="1">
      <c r="A55" s="1">
        <v>69</v>
      </c>
      <c r="B55" s="1" t="s">
        <v>23</v>
      </c>
      <c r="C55" s="1" t="s">
        <v>7</v>
      </c>
      <c r="D55" s="1" t="s">
        <v>0</v>
      </c>
      <c r="E55" s="1">
        <v>29760</v>
      </c>
      <c r="F55" s="2"/>
    </row>
    <row r="56" spans="1:6" ht="22.5" customHeight="1">
      <c r="A56" s="1">
        <v>71</v>
      </c>
      <c r="B56" s="1" t="s">
        <v>23</v>
      </c>
      <c r="C56" s="1" t="s">
        <v>8</v>
      </c>
      <c r="D56" s="1" t="s">
        <v>0</v>
      </c>
      <c r="E56" s="1">
        <v>6756</v>
      </c>
      <c r="F56" s="2"/>
    </row>
    <row r="57" spans="1:6" ht="22.5" customHeight="1">
      <c r="A57" s="1">
        <v>72</v>
      </c>
      <c r="B57" s="1" t="s">
        <v>23</v>
      </c>
      <c r="C57" s="1" t="s">
        <v>8</v>
      </c>
      <c r="D57" s="1" t="s">
        <v>0</v>
      </c>
      <c r="E57" s="1">
        <v>27432</v>
      </c>
      <c r="F57" s="2"/>
    </row>
    <row r="58" spans="1:6" ht="22.5" customHeight="1">
      <c r="A58" s="1">
        <v>73</v>
      </c>
      <c r="B58" s="1" t="s">
        <v>23</v>
      </c>
      <c r="C58" s="1" t="s">
        <v>8</v>
      </c>
      <c r="D58" s="1" t="s">
        <v>0</v>
      </c>
      <c r="E58" s="1">
        <v>17703</v>
      </c>
      <c r="F58" s="2"/>
    </row>
    <row r="59" spans="1:6" ht="22.5" customHeight="1">
      <c r="A59" s="1">
        <v>74</v>
      </c>
      <c r="B59" s="1" t="s">
        <v>23</v>
      </c>
      <c r="C59" s="1" t="s">
        <v>8</v>
      </c>
      <c r="D59" s="1" t="s">
        <v>0</v>
      </c>
      <c r="E59" s="1">
        <v>25134</v>
      </c>
      <c r="F59" s="2"/>
    </row>
    <row r="60" spans="1:6" ht="22.5" customHeight="1">
      <c r="A60" s="1">
        <v>75</v>
      </c>
      <c r="B60" s="1" t="s">
        <v>23</v>
      </c>
      <c r="C60" s="1" t="s">
        <v>8</v>
      </c>
      <c r="D60" s="1" t="s">
        <v>0</v>
      </c>
      <c r="E60" s="1">
        <v>5642</v>
      </c>
      <c r="F60" s="2"/>
    </row>
    <row r="61" spans="1:6" ht="22.5" customHeight="1">
      <c r="A61" s="1">
        <v>76</v>
      </c>
      <c r="B61" s="1" t="s">
        <v>23</v>
      </c>
      <c r="C61" s="1" t="s">
        <v>8</v>
      </c>
      <c r="D61" s="1" t="s">
        <v>0</v>
      </c>
      <c r="E61" s="1">
        <v>13427</v>
      </c>
      <c r="F61" s="2"/>
    </row>
    <row r="62" spans="1:6" ht="22.5" customHeight="1">
      <c r="A62" s="1">
        <v>77</v>
      </c>
      <c r="B62" s="1" t="s">
        <v>23</v>
      </c>
      <c r="C62" s="1" t="s">
        <v>8</v>
      </c>
      <c r="D62" s="1" t="s">
        <v>0</v>
      </c>
      <c r="E62" s="1">
        <v>14134</v>
      </c>
      <c r="F62" s="2"/>
    </row>
    <row r="63" spans="1:6" ht="22.5" customHeight="1">
      <c r="A63" s="1">
        <v>78</v>
      </c>
      <c r="B63" s="1" t="s">
        <v>23</v>
      </c>
      <c r="C63" s="1" t="s">
        <v>8</v>
      </c>
      <c r="D63" s="1" t="s">
        <v>0</v>
      </c>
      <c r="E63" s="1">
        <v>14735</v>
      </c>
      <c r="F63" s="2"/>
    </row>
    <row r="64" spans="1:6" ht="22.5" customHeight="1">
      <c r="A64" s="1">
        <v>79</v>
      </c>
      <c r="B64" s="1" t="s">
        <v>23</v>
      </c>
      <c r="C64" s="1" t="s">
        <v>8</v>
      </c>
      <c r="D64" s="1" t="s">
        <v>0</v>
      </c>
      <c r="E64" s="1">
        <v>22505</v>
      </c>
      <c r="F64" s="2"/>
    </row>
    <row r="65" spans="1:6" ht="22.5" customHeight="1">
      <c r="A65" s="1">
        <v>81</v>
      </c>
      <c r="B65" s="1" t="s">
        <v>23</v>
      </c>
      <c r="C65" s="1" t="s">
        <v>8</v>
      </c>
      <c r="D65" s="1" t="s">
        <v>0</v>
      </c>
      <c r="E65" s="1">
        <v>12367</v>
      </c>
      <c r="F65" s="2"/>
    </row>
    <row r="66" spans="1:6" ht="22.5" customHeight="1">
      <c r="A66" s="1">
        <v>82</v>
      </c>
      <c r="B66" s="1" t="s">
        <v>23</v>
      </c>
      <c r="C66" s="1" t="s">
        <v>8</v>
      </c>
      <c r="D66" s="1" t="s">
        <v>0</v>
      </c>
      <c r="E66" s="1">
        <v>10448</v>
      </c>
      <c r="F66" s="2"/>
    </row>
    <row r="67" spans="1:6" ht="22.5" customHeight="1">
      <c r="A67" s="1">
        <v>83</v>
      </c>
      <c r="B67" s="1" t="s">
        <v>23</v>
      </c>
      <c r="C67" s="1" t="s">
        <v>8</v>
      </c>
      <c r="D67" s="1" t="s">
        <v>0</v>
      </c>
      <c r="E67" s="1">
        <v>16488</v>
      </c>
      <c r="F67" s="2"/>
    </row>
    <row r="68" spans="1:6" ht="22.5" customHeight="1">
      <c r="A68" s="1">
        <v>84</v>
      </c>
      <c r="B68" s="1" t="s">
        <v>23</v>
      </c>
      <c r="C68" s="1" t="s">
        <v>8</v>
      </c>
      <c r="D68" s="1" t="s">
        <v>0</v>
      </c>
      <c r="E68" s="1">
        <v>8758</v>
      </c>
      <c r="F68" s="2"/>
    </row>
    <row r="69" spans="1:6" ht="22.5" customHeight="1">
      <c r="A69" s="1">
        <v>85</v>
      </c>
      <c r="B69" s="1" t="s">
        <v>23</v>
      </c>
      <c r="C69" s="1" t="s">
        <v>8</v>
      </c>
      <c r="D69" s="1" t="s">
        <v>0</v>
      </c>
      <c r="E69" s="1">
        <v>14694</v>
      </c>
      <c r="F69" s="2"/>
    </row>
    <row r="70" spans="1:6" ht="22.5" customHeight="1">
      <c r="A70" s="1">
        <v>86</v>
      </c>
      <c r="B70" s="1" t="s">
        <v>23</v>
      </c>
      <c r="C70" s="1" t="s">
        <v>8</v>
      </c>
      <c r="D70" s="1" t="s">
        <v>0</v>
      </c>
      <c r="E70" s="1">
        <v>43926</v>
      </c>
      <c r="F70" s="2"/>
    </row>
    <row r="71" spans="1:6" ht="22.5" customHeight="1">
      <c r="A71" s="1">
        <v>87</v>
      </c>
      <c r="B71" s="1" t="s">
        <v>23</v>
      </c>
      <c r="C71" s="1" t="s">
        <v>8</v>
      </c>
      <c r="D71" s="1" t="s">
        <v>0</v>
      </c>
      <c r="E71" s="1">
        <v>39131</v>
      </c>
      <c r="F71" s="2"/>
    </row>
    <row r="72" spans="1:6" ht="22.5" customHeight="1">
      <c r="A72" s="1">
        <v>88</v>
      </c>
      <c r="B72" s="1" t="s">
        <v>23</v>
      </c>
      <c r="C72" s="1" t="s">
        <v>8</v>
      </c>
      <c r="D72" s="1" t="s">
        <v>0</v>
      </c>
      <c r="E72" s="1">
        <v>40756</v>
      </c>
      <c r="F72" s="2"/>
    </row>
    <row r="73" spans="1:6" ht="22.5" customHeight="1">
      <c r="A73" s="1">
        <v>89</v>
      </c>
      <c r="B73" s="1" t="s">
        <v>23</v>
      </c>
      <c r="C73" s="1" t="s">
        <v>8</v>
      </c>
      <c r="D73" s="1" t="s">
        <v>0</v>
      </c>
      <c r="E73" s="1">
        <v>15855</v>
      </c>
      <c r="F73" s="2"/>
    </row>
    <row r="74" spans="1:6" ht="22.5" customHeight="1">
      <c r="A74" s="1">
        <v>91</v>
      </c>
      <c r="B74" s="1" t="s">
        <v>23</v>
      </c>
      <c r="C74" s="1" t="s">
        <v>8</v>
      </c>
      <c r="D74" s="1" t="s">
        <v>0</v>
      </c>
      <c r="E74" s="1">
        <v>28280</v>
      </c>
      <c r="F74" s="2"/>
    </row>
    <row r="75" spans="1:6" ht="22.5" customHeight="1">
      <c r="A75" s="1">
        <v>92</v>
      </c>
      <c r="B75" s="1" t="s">
        <v>23</v>
      </c>
      <c r="C75" s="1" t="s">
        <v>8</v>
      </c>
      <c r="D75" s="1" t="s">
        <v>0</v>
      </c>
      <c r="E75" s="1">
        <v>24695</v>
      </c>
      <c r="F75" s="2"/>
    </row>
    <row r="76" spans="1:6" ht="22.5" customHeight="1">
      <c r="A76" s="1">
        <v>93</v>
      </c>
      <c r="B76" s="1" t="s">
        <v>23</v>
      </c>
      <c r="C76" s="1" t="s">
        <v>8</v>
      </c>
      <c r="D76" s="1" t="s">
        <v>0</v>
      </c>
      <c r="E76" s="1">
        <v>9651</v>
      </c>
      <c r="F76" s="2"/>
    </row>
    <row r="77" spans="1:6" ht="22.5" customHeight="1">
      <c r="A77" s="1">
        <v>94</v>
      </c>
      <c r="B77" s="1" t="s">
        <v>23</v>
      </c>
      <c r="C77" s="1" t="s">
        <v>8</v>
      </c>
      <c r="D77" s="1" t="s">
        <v>0</v>
      </c>
      <c r="E77" s="1">
        <v>37751</v>
      </c>
      <c r="F77" s="2"/>
    </row>
    <row r="78" spans="1:6" ht="22.5" customHeight="1">
      <c r="A78" s="1">
        <v>95</v>
      </c>
      <c r="B78" s="1" t="s">
        <v>23</v>
      </c>
      <c r="C78" s="1" t="s">
        <v>8</v>
      </c>
      <c r="D78" s="1" t="s">
        <v>0</v>
      </c>
      <c r="E78" s="1">
        <v>44738</v>
      </c>
      <c r="F78" s="2"/>
    </row>
    <row r="79" spans="1:6" ht="22.5" customHeight="1">
      <c r="A79" s="1">
        <v>96</v>
      </c>
      <c r="B79" s="1" t="s">
        <v>23</v>
      </c>
      <c r="C79" s="1" t="s">
        <v>8</v>
      </c>
      <c r="D79" s="1" t="s">
        <v>0</v>
      </c>
      <c r="E79" s="1">
        <v>48025</v>
      </c>
      <c r="F79" s="2"/>
    </row>
    <row r="80" spans="1:6" ht="22.5" customHeight="1">
      <c r="A80" s="1">
        <v>97</v>
      </c>
      <c r="B80" s="1" t="s">
        <v>23</v>
      </c>
      <c r="C80" s="1" t="s">
        <v>8</v>
      </c>
      <c r="D80" s="1" t="s">
        <v>0</v>
      </c>
      <c r="E80" s="1">
        <v>31431</v>
      </c>
      <c r="F80" s="2"/>
    </row>
    <row r="81" spans="1:6" ht="22.5" customHeight="1">
      <c r="A81" s="1">
        <v>98</v>
      </c>
      <c r="B81" s="1" t="s">
        <v>23</v>
      </c>
      <c r="C81" s="1" t="s">
        <v>8</v>
      </c>
      <c r="D81" s="1" t="s">
        <v>0</v>
      </c>
      <c r="E81" s="1">
        <v>10058</v>
      </c>
      <c r="F81" s="2"/>
    </row>
    <row r="82" spans="1:6" ht="22.5" customHeight="1">
      <c r="A82" s="1">
        <v>99</v>
      </c>
      <c r="B82" s="1" t="s">
        <v>23</v>
      </c>
      <c r="C82" s="1" t="s">
        <v>8</v>
      </c>
      <c r="D82" s="1" t="s">
        <v>0</v>
      </c>
      <c r="E82" s="1">
        <v>24624</v>
      </c>
      <c r="F82" s="2"/>
    </row>
  </sheetData>
  <phoneticPr fontId="1"/>
  <pageMargins left="0.25" right="0.25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4B2D6-05E2-4055-8163-92B27E3FD699}">
  <dimension ref="A1:F82"/>
  <sheetViews>
    <sheetView topLeftCell="A82" workbookViewId="0">
      <selection activeCell="E2" sqref="E2:E82"/>
    </sheetView>
  </sheetViews>
  <sheetFormatPr defaultRowHeight="22.5" customHeight="1"/>
  <cols>
    <col min="1" max="1" width="8.6640625" style="3"/>
    <col min="2" max="4" width="15" style="3" customWidth="1"/>
    <col min="5" max="5" width="9.1640625" style="3" customWidth="1"/>
    <col min="6" max="6" width="69.4140625" customWidth="1"/>
  </cols>
  <sheetData>
    <row r="1" spans="1:6" ht="22.5" customHeight="1">
      <c r="A1" s="1"/>
      <c r="B1" s="1" t="s">
        <v>15</v>
      </c>
      <c r="C1" s="1" t="s">
        <v>16</v>
      </c>
      <c r="D1" s="1" t="s">
        <v>14</v>
      </c>
      <c r="E1" s="1" t="s">
        <v>11</v>
      </c>
      <c r="F1" s="1" t="s">
        <v>10</v>
      </c>
    </row>
    <row r="2" spans="1:6" ht="22.5" customHeight="1">
      <c r="A2" s="1">
        <v>11</v>
      </c>
      <c r="B2" s="1" t="s">
        <v>22</v>
      </c>
      <c r="C2" s="1" t="s">
        <v>7</v>
      </c>
      <c r="D2" s="1" t="s">
        <v>1</v>
      </c>
      <c r="E2" s="1">
        <v>26054</v>
      </c>
      <c r="F2" s="2" t="s">
        <v>4</v>
      </c>
    </row>
    <row r="3" spans="1:6" ht="22.5" customHeight="1">
      <c r="A3" s="1">
        <v>12</v>
      </c>
      <c r="B3" s="1" t="s">
        <v>22</v>
      </c>
      <c r="C3" s="1" t="s">
        <v>7</v>
      </c>
      <c r="D3" s="1" t="s">
        <v>1</v>
      </c>
      <c r="E3" s="1">
        <v>43044</v>
      </c>
      <c r="F3" s="2"/>
    </row>
    <row r="4" spans="1:6" ht="22.5" customHeight="1">
      <c r="A4" s="1">
        <v>13</v>
      </c>
      <c r="B4" s="1" t="s">
        <v>22</v>
      </c>
      <c r="C4" s="1" t="s">
        <v>7</v>
      </c>
      <c r="D4" s="1" t="s">
        <v>1</v>
      </c>
      <c r="E4" s="1">
        <v>21833</v>
      </c>
      <c r="F4" s="2"/>
    </row>
    <row r="5" spans="1:6" ht="22.5" customHeight="1">
      <c r="A5" s="1">
        <v>14</v>
      </c>
      <c r="B5" s="1" t="s">
        <v>22</v>
      </c>
      <c r="C5" s="1" t="s">
        <v>7</v>
      </c>
      <c r="D5" s="1" t="s">
        <v>1</v>
      </c>
      <c r="E5" s="1">
        <v>15040</v>
      </c>
      <c r="F5" s="2"/>
    </row>
    <row r="6" spans="1:6" ht="22.5" customHeight="1">
      <c r="A6" s="1">
        <v>15</v>
      </c>
      <c r="B6" s="1" t="s">
        <v>22</v>
      </c>
      <c r="C6" s="1" t="s">
        <v>7</v>
      </c>
      <c r="D6" s="1" t="s">
        <v>1</v>
      </c>
      <c r="E6" s="1">
        <v>35430</v>
      </c>
      <c r="F6" s="2"/>
    </row>
    <row r="7" spans="1:6" ht="22.5" customHeight="1">
      <c r="A7" s="1">
        <v>16</v>
      </c>
      <c r="B7" s="1" t="s">
        <v>22</v>
      </c>
      <c r="C7" s="1" t="s">
        <v>7</v>
      </c>
      <c r="D7" s="1" t="s">
        <v>1</v>
      </c>
      <c r="E7" s="1">
        <v>16196</v>
      </c>
      <c r="F7" s="2"/>
    </row>
    <row r="8" spans="1:6" ht="22.5" customHeight="1">
      <c r="A8" s="1">
        <v>17</v>
      </c>
      <c r="B8" s="1" t="s">
        <v>22</v>
      </c>
      <c r="C8" s="1" t="s">
        <v>7</v>
      </c>
      <c r="D8" s="1" t="s">
        <v>1</v>
      </c>
      <c r="E8" s="1">
        <v>8563</v>
      </c>
      <c r="F8" s="2"/>
    </row>
    <row r="9" spans="1:6" ht="22.5" customHeight="1">
      <c r="A9" s="1">
        <v>18</v>
      </c>
      <c r="B9" s="1" t="s">
        <v>22</v>
      </c>
      <c r="C9" s="1" t="s">
        <v>7</v>
      </c>
      <c r="D9" s="1" t="s">
        <v>1</v>
      </c>
      <c r="E9" s="1">
        <v>21441</v>
      </c>
      <c r="F9" s="2"/>
    </row>
    <row r="10" spans="1:6" ht="22.5" customHeight="1">
      <c r="A10" s="1">
        <v>19</v>
      </c>
      <c r="B10" s="1" t="s">
        <v>22</v>
      </c>
      <c r="C10" s="1" t="s">
        <v>7</v>
      </c>
      <c r="D10" s="1" t="s">
        <v>1</v>
      </c>
      <c r="E10" s="1">
        <v>20797</v>
      </c>
      <c r="F10" s="2"/>
    </row>
    <row r="11" spans="1:6" ht="22.5" customHeight="1">
      <c r="A11" s="1">
        <v>21</v>
      </c>
      <c r="B11" s="1" t="s">
        <v>22</v>
      </c>
      <c r="C11" s="1" t="s">
        <v>7</v>
      </c>
      <c r="D11" s="1" t="s">
        <v>1</v>
      </c>
      <c r="E11" s="1">
        <v>23567</v>
      </c>
      <c r="F11" s="2"/>
    </row>
    <row r="12" spans="1:6" ht="22.5" customHeight="1">
      <c r="A12" s="1">
        <v>22</v>
      </c>
      <c r="B12" s="1" t="s">
        <v>22</v>
      </c>
      <c r="C12" s="1" t="s">
        <v>7</v>
      </c>
      <c r="D12" s="1" t="s">
        <v>1</v>
      </c>
      <c r="E12" s="1">
        <v>13418</v>
      </c>
      <c r="F12" s="2"/>
    </row>
    <row r="13" spans="1:6" ht="22.5" customHeight="1">
      <c r="A13" s="1">
        <v>23</v>
      </c>
      <c r="B13" s="1" t="s">
        <v>22</v>
      </c>
      <c r="C13" s="1" t="s">
        <v>7</v>
      </c>
      <c r="D13" s="1" t="s">
        <v>1</v>
      </c>
      <c r="E13" s="1">
        <v>10754</v>
      </c>
      <c r="F13" s="2"/>
    </row>
    <row r="14" spans="1:6" ht="22.5" customHeight="1">
      <c r="A14" s="1">
        <v>24</v>
      </c>
      <c r="B14" s="1" t="s">
        <v>22</v>
      </c>
      <c r="C14" s="1" t="s">
        <v>7</v>
      </c>
      <c r="D14" s="1" t="s">
        <v>1</v>
      </c>
      <c r="E14" s="1">
        <v>12087</v>
      </c>
      <c r="F14" s="2"/>
    </row>
    <row r="15" spans="1:6" ht="22.5" customHeight="1">
      <c r="A15" s="1">
        <v>25</v>
      </c>
      <c r="B15" s="1" t="s">
        <v>22</v>
      </c>
      <c r="C15" s="1" t="s">
        <v>7</v>
      </c>
      <c r="D15" s="1" t="s">
        <v>1</v>
      </c>
      <c r="E15" s="1">
        <v>10842</v>
      </c>
      <c r="F15" s="2"/>
    </row>
    <row r="16" spans="1:6" ht="22.5" customHeight="1">
      <c r="A16" s="1">
        <v>26</v>
      </c>
      <c r="B16" s="1" t="s">
        <v>22</v>
      </c>
      <c r="C16" s="1" t="s">
        <v>7</v>
      </c>
      <c r="D16" s="1" t="s">
        <v>1</v>
      </c>
      <c r="E16" s="1">
        <v>11636</v>
      </c>
      <c r="F16" s="2"/>
    </row>
    <row r="17" spans="1:6" ht="22.5" customHeight="1">
      <c r="A17" s="1">
        <v>27</v>
      </c>
      <c r="B17" s="1" t="s">
        <v>22</v>
      </c>
      <c r="C17" s="1" t="s">
        <v>7</v>
      </c>
      <c r="D17" s="1" t="s">
        <v>1</v>
      </c>
      <c r="E17" s="1">
        <v>15051</v>
      </c>
      <c r="F17" s="2"/>
    </row>
    <row r="18" spans="1:6" ht="22.5" customHeight="1">
      <c r="A18" s="1">
        <v>28</v>
      </c>
      <c r="B18" s="1" t="s">
        <v>22</v>
      </c>
      <c r="C18" s="1" t="s">
        <v>7</v>
      </c>
      <c r="D18" s="1" t="s">
        <v>1</v>
      </c>
      <c r="E18" s="1">
        <v>19304</v>
      </c>
      <c r="F18" s="2"/>
    </row>
    <row r="19" spans="1:6" ht="22.5" customHeight="1">
      <c r="A19" s="1">
        <v>29</v>
      </c>
      <c r="B19" s="1" t="s">
        <v>22</v>
      </c>
      <c r="C19" s="1" t="s">
        <v>7</v>
      </c>
      <c r="D19" s="1" t="s">
        <v>1</v>
      </c>
      <c r="E19" s="1">
        <v>45959</v>
      </c>
      <c r="F19" s="2"/>
    </row>
    <row r="20" spans="1:6" ht="22.5" customHeight="1">
      <c r="A20" s="1">
        <v>31</v>
      </c>
      <c r="B20" s="1" t="s">
        <v>22</v>
      </c>
      <c r="C20" s="1" t="s">
        <v>7</v>
      </c>
      <c r="D20" s="1" t="s">
        <v>1</v>
      </c>
      <c r="E20" s="1">
        <v>8108</v>
      </c>
      <c r="F20" s="2"/>
    </row>
    <row r="21" spans="1:6" ht="22.5" customHeight="1">
      <c r="A21" s="1">
        <v>32</v>
      </c>
      <c r="B21" s="1" t="s">
        <v>22</v>
      </c>
      <c r="C21" s="1" t="s">
        <v>7</v>
      </c>
      <c r="D21" s="1" t="s">
        <v>1</v>
      </c>
      <c r="E21" s="1">
        <v>10569</v>
      </c>
      <c r="F21" s="2"/>
    </row>
    <row r="22" spans="1:6" ht="22.5" customHeight="1">
      <c r="A22" s="1">
        <v>33</v>
      </c>
      <c r="B22" s="1" t="s">
        <v>22</v>
      </c>
      <c r="C22" s="1" t="s">
        <v>7</v>
      </c>
      <c r="D22" s="1" t="s">
        <v>1</v>
      </c>
      <c r="E22" s="1">
        <v>36531</v>
      </c>
      <c r="F22" s="2"/>
    </row>
    <row r="23" spans="1:6" ht="22.5" customHeight="1">
      <c r="A23" s="1">
        <v>34</v>
      </c>
      <c r="B23" s="1" t="s">
        <v>22</v>
      </c>
      <c r="C23" s="1" t="s">
        <v>7</v>
      </c>
      <c r="D23" s="1" t="s">
        <v>1</v>
      </c>
      <c r="E23" s="1">
        <v>14465</v>
      </c>
      <c r="F23" s="2"/>
    </row>
    <row r="24" spans="1:6" ht="22.5" customHeight="1">
      <c r="A24" s="1">
        <v>35</v>
      </c>
      <c r="B24" s="1" t="s">
        <v>22</v>
      </c>
      <c r="C24" s="1" t="s">
        <v>7</v>
      </c>
      <c r="D24" s="1" t="s">
        <v>1</v>
      </c>
      <c r="E24" s="1">
        <v>12086</v>
      </c>
      <c r="F24" s="2"/>
    </row>
    <row r="25" spans="1:6" ht="22.5" customHeight="1">
      <c r="A25" s="1">
        <v>36</v>
      </c>
      <c r="B25" s="1" t="s">
        <v>22</v>
      </c>
      <c r="C25" s="1" t="s">
        <v>7</v>
      </c>
      <c r="D25" s="1" t="s">
        <v>1</v>
      </c>
      <c r="E25" s="1">
        <v>16026</v>
      </c>
      <c r="F25" s="2"/>
    </row>
    <row r="26" spans="1:6" ht="22.5" customHeight="1">
      <c r="A26" s="1">
        <v>37</v>
      </c>
      <c r="B26" s="1" t="s">
        <v>22</v>
      </c>
      <c r="C26" s="1" t="s">
        <v>7</v>
      </c>
      <c r="D26" s="1" t="s">
        <v>1</v>
      </c>
      <c r="E26" s="1">
        <v>47094</v>
      </c>
      <c r="F26" s="2"/>
    </row>
    <row r="27" spans="1:6" ht="22.5" customHeight="1">
      <c r="A27" s="1">
        <v>38</v>
      </c>
      <c r="B27" s="1" t="s">
        <v>22</v>
      </c>
      <c r="C27" s="1" t="s">
        <v>7</v>
      </c>
      <c r="D27" s="1" t="s">
        <v>1</v>
      </c>
      <c r="E27" s="1">
        <v>5254</v>
      </c>
      <c r="F27" s="2"/>
    </row>
    <row r="28" spans="1:6" ht="22.5" customHeight="1">
      <c r="A28" s="1">
        <v>39</v>
      </c>
      <c r="B28" s="1" t="s">
        <v>22</v>
      </c>
      <c r="C28" s="1" t="s">
        <v>7</v>
      </c>
      <c r="D28" s="1" t="s">
        <v>1</v>
      </c>
      <c r="E28" s="1">
        <v>13392</v>
      </c>
      <c r="F28" s="2"/>
    </row>
    <row r="29" spans="1:6" ht="22.5" customHeight="1">
      <c r="A29" s="1">
        <v>41</v>
      </c>
      <c r="B29" s="1" t="s">
        <v>22</v>
      </c>
      <c r="C29" s="1" t="s">
        <v>8</v>
      </c>
      <c r="D29" s="1" t="s">
        <v>1</v>
      </c>
      <c r="E29" s="1">
        <v>14563</v>
      </c>
      <c r="F29" s="2"/>
    </row>
    <row r="30" spans="1:6" ht="22.5" customHeight="1">
      <c r="A30" s="1">
        <v>42</v>
      </c>
      <c r="B30" s="1" t="s">
        <v>22</v>
      </c>
      <c r="C30" s="1" t="s">
        <v>8</v>
      </c>
      <c r="D30" s="1" t="s">
        <v>1</v>
      </c>
      <c r="E30" s="1">
        <v>20663</v>
      </c>
      <c r="F30" s="2"/>
    </row>
    <row r="31" spans="1:6" ht="22.5" customHeight="1">
      <c r="A31" s="1">
        <v>43</v>
      </c>
      <c r="B31" s="1" t="s">
        <v>22</v>
      </c>
      <c r="C31" s="1" t="s">
        <v>8</v>
      </c>
      <c r="D31" s="1" t="s">
        <v>1</v>
      </c>
      <c r="E31" s="1">
        <v>13423</v>
      </c>
      <c r="F31" s="2"/>
    </row>
    <row r="32" spans="1:6" ht="22.5" customHeight="1">
      <c r="A32" s="1">
        <v>44</v>
      </c>
      <c r="B32" s="1" t="s">
        <v>22</v>
      </c>
      <c r="C32" s="1" t="s">
        <v>8</v>
      </c>
      <c r="D32" s="1" t="s">
        <v>1</v>
      </c>
      <c r="E32" s="1">
        <v>7607</v>
      </c>
      <c r="F32" s="2"/>
    </row>
    <row r="33" spans="1:6" ht="22.5" customHeight="1">
      <c r="A33" s="1">
        <v>45</v>
      </c>
      <c r="B33" s="1" t="s">
        <v>22</v>
      </c>
      <c r="C33" s="1" t="s">
        <v>8</v>
      </c>
      <c r="D33" s="1" t="s">
        <v>1</v>
      </c>
      <c r="E33" s="1">
        <v>11305</v>
      </c>
      <c r="F33" s="2"/>
    </row>
    <row r="34" spans="1:6" ht="22.5" customHeight="1">
      <c r="A34" s="1">
        <v>46</v>
      </c>
      <c r="B34" s="1" t="s">
        <v>22</v>
      </c>
      <c r="C34" s="1" t="s">
        <v>8</v>
      </c>
      <c r="D34" s="1" t="s">
        <v>1</v>
      </c>
      <c r="E34" s="1">
        <v>31426</v>
      </c>
      <c r="F34" s="2"/>
    </row>
    <row r="35" spans="1:6" ht="22.5" customHeight="1">
      <c r="A35" s="1">
        <v>47</v>
      </c>
      <c r="B35" s="1" t="s">
        <v>22</v>
      </c>
      <c r="C35" s="1" t="s">
        <v>8</v>
      </c>
      <c r="D35" s="1" t="s">
        <v>1</v>
      </c>
      <c r="E35" s="1">
        <v>28781</v>
      </c>
      <c r="F35" s="2"/>
    </row>
    <row r="36" spans="1:6" ht="22.5" customHeight="1">
      <c r="A36" s="1">
        <v>48</v>
      </c>
      <c r="B36" s="1" t="s">
        <v>22</v>
      </c>
      <c r="C36" s="1" t="s">
        <v>8</v>
      </c>
      <c r="D36" s="1" t="s">
        <v>1</v>
      </c>
      <c r="E36" s="1">
        <v>12922</v>
      </c>
      <c r="F36" s="2"/>
    </row>
    <row r="37" spans="1:6" ht="22.5" customHeight="1">
      <c r="A37" s="1">
        <v>49</v>
      </c>
      <c r="B37" s="1" t="s">
        <v>22</v>
      </c>
      <c r="C37" s="1" t="s">
        <v>8</v>
      </c>
      <c r="D37" s="1" t="s">
        <v>1</v>
      </c>
      <c r="E37" s="1">
        <v>14385</v>
      </c>
      <c r="F37" s="2"/>
    </row>
    <row r="38" spans="1:6" ht="22.5" customHeight="1">
      <c r="A38" s="1">
        <v>51</v>
      </c>
      <c r="B38" s="1" t="s">
        <v>22</v>
      </c>
      <c r="C38" s="1" t="s">
        <v>8</v>
      </c>
      <c r="D38" s="1" t="s">
        <v>1</v>
      </c>
      <c r="E38" s="1">
        <v>8570</v>
      </c>
      <c r="F38" s="2"/>
    </row>
    <row r="39" spans="1:6" ht="22.5" customHeight="1">
      <c r="A39" s="1">
        <v>52</v>
      </c>
      <c r="B39" s="1" t="s">
        <v>22</v>
      </c>
      <c r="C39" s="1" t="s">
        <v>8</v>
      </c>
      <c r="D39" s="1" t="s">
        <v>1</v>
      </c>
      <c r="E39" s="1">
        <v>10076</v>
      </c>
      <c r="F39" s="2"/>
    </row>
    <row r="40" spans="1:6" ht="22.5" customHeight="1">
      <c r="A40" s="1">
        <v>53</v>
      </c>
      <c r="B40" s="1" t="s">
        <v>22</v>
      </c>
      <c r="C40" s="1" t="s">
        <v>8</v>
      </c>
      <c r="D40" s="1" t="s">
        <v>1</v>
      </c>
      <c r="E40" s="1">
        <v>28276</v>
      </c>
      <c r="F40" s="2"/>
    </row>
    <row r="41" spans="1:6" ht="22.5" customHeight="1">
      <c r="A41" s="1">
        <v>54</v>
      </c>
      <c r="B41" s="1" t="s">
        <v>22</v>
      </c>
      <c r="C41" s="1" t="s">
        <v>8</v>
      </c>
      <c r="D41" s="1" t="s">
        <v>1</v>
      </c>
      <c r="E41" s="1">
        <v>15422</v>
      </c>
      <c r="F41" s="2"/>
    </row>
    <row r="42" spans="1:6" ht="22.5" customHeight="1">
      <c r="A42" s="1">
        <v>55</v>
      </c>
      <c r="B42" s="1" t="s">
        <v>22</v>
      </c>
      <c r="C42" s="1" t="s">
        <v>8</v>
      </c>
      <c r="D42" s="1" t="s">
        <v>1</v>
      </c>
      <c r="E42" s="1">
        <v>19083</v>
      </c>
      <c r="F42" s="2"/>
    </row>
    <row r="43" spans="1:6" ht="22.5" customHeight="1">
      <c r="A43" s="1">
        <v>56</v>
      </c>
      <c r="B43" s="1" t="s">
        <v>22</v>
      </c>
      <c r="C43" s="1" t="s">
        <v>8</v>
      </c>
      <c r="D43" s="1" t="s">
        <v>1</v>
      </c>
      <c r="E43" s="1">
        <v>13736</v>
      </c>
      <c r="F43" s="2"/>
    </row>
    <row r="44" spans="1:6" ht="22.5" customHeight="1">
      <c r="A44" s="1">
        <v>57</v>
      </c>
      <c r="B44" s="1" t="s">
        <v>22</v>
      </c>
      <c r="C44" s="1" t="s">
        <v>8</v>
      </c>
      <c r="D44" s="1" t="s">
        <v>1</v>
      </c>
      <c r="E44" s="1">
        <v>22515</v>
      </c>
      <c r="F44" s="2"/>
    </row>
    <row r="45" spans="1:6" ht="22.5" customHeight="1">
      <c r="A45" s="1">
        <v>58</v>
      </c>
      <c r="B45" s="1" t="s">
        <v>22</v>
      </c>
      <c r="C45" s="1" t="s">
        <v>8</v>
      </c>
      <c r="D45" s="1" t="s">
        <v>1</v>
      </c>
      <c r="E45" s="1">
        <v>25507</v>
      </c>
      <c r="F45" s="2"/>
    </row>
    <row r="46" spans="1:6" ht="22.5" customHeight="1">
      <c r="A46" s="1">
        <v>59</v>
      </c>
      <c r="B46" s="1" t="s">
        <v>22</v>
      </c>
      <c r="C46" s="1" t="s">
        <v>8</v>
      </c>
      <c r="D46" s="1" t="s">
        <v>1</v>
      </c>
      <c r="E46" s="1">
        <v>22110</v>
      </c>
      <c r="F46" s="2"/>
    </row>
    <row r="47" spans="1:6" ht="22.5" customHeight="1">
      <c r="A47" s="1">
        <v>61</v>
      </c>
      <c r="B47" s="1" t="s">
        <v>22</v>
      </c>
      <c r="C47" s="1" t="s">
        <v>8</v>
      </c>
      <c r="D47" s="1" t="s">
        <v>1</v>
      </c>
      <c r="E47" s="1">
        <v>10006</v>
      </c>
      <c r="F47" s="2"/>
    </row>
    <row r="48" spans="1:6" ht="22.5" customHeight="1">
      <c r="A48" s="1">
        <v>62</v>
      </c>
      <c r="B48" s="1" t="s">
        <v>22</v>
      </c>
      <c r="C48" s="1" t="s">
        <v>8</v>
      </c>
      <c r="D48" s="1" t="s">
        <v>1</v>
      </c>
      <c r="E48" s="1">
        <v>19226</v>
      </c>
      <c r="F48" s="2"/>
    </row>
    <row r="49" spans="1:6" ht="22.5" customHeight="1">
      <c r="A49" s="1">
        <v>63</v>
      </c>
      <c r="B49" s="1" t="s">
        <v>22</v>
      </c>
      <c r="C49" s="1" t="s">
        <v>8</v>
      </c>
      <c r="D49" s="1" t="s">
        <v>1</v>
      </c>
      <c r="E49" s="1">
        <v>33755</v>
      </c>
      <c r="F49" s="2"/>
    </row>
    <row r="50" spans="1:6" ht="22.5" customHeight="1">
      <c r="A50" s="1">
        <v>64</v>
      </c>
      <c r="B50" s="1" t="s">
        <v>22</v>
      </c>
      <c r="C50" s="1" t="s">
        <v>8</v>
      </c>
      <c r="D50" s="1" t="s">
        <v>1</v>
      </c>
      <c r="E50" s="1">
        <v>11781</v>
      </c>
      <c r="F50" s="2"/>
    </row>
    <row r="51" spans="1:6" ht="22.5" customHeight="1">
      <c r="A51" s="1">
        <v>65</v>
      </c>
      <c r="B51" s="1" t="s">
        <v>22</v>
      </c>
      <c r="C51" s="1" t="s">
        <v>8</v>
      </c>
      <c r="D51" s="1" t="s">
        <v>1</v>
      </c>
      <c r="E51" s="1">
        <v>21466</v>
      </c>
      <c r="F51" s="2"/>
    </row>
    <row r="52" spans="1:6" ht="22.5" customHeight="1">
      <c r="A52" s="1">
        <v>66</v>
      </c>
      <c r="B52" s="1" t="s">
        <v>22</v>
      </c>
      <c r="C52" s="1" t="s">
        <v>8</v>
      </c>
      <c r="D52" s="1" t="s">
        <v>1</v>
      </c>
      <c r="E52" s="1">
        <v>20297</v>
      </c>
      <c r="F52" s="2"/>
    </row>
    <row r="53" spans="1:6" ht="22.5" customHeight="1">
      <c r="A53" s="1">
        <v>67</v>
      </c>
      <c r="B53" s="1" t="s">
        <v>22</v>
      </c>
      <c r="C53" s="1" t="s">
        <v>8</v>
      </c>
      <c r="D53" s="1" t="s">
        <v>1</v>
      </c>
      <c r="E53" s="1">
        <v>28900</v>
      </c>
      <c r="F53" s="2"/>
    </row>
    <row r="54" spans="1:6" ht="22.5" customHeight="1">
      <c r="A54" s="1">
        <v>68</v>
      </c>
      <c r="B54" s="1" t="s">
        <v>22</v>
      </c>
      <c r="C54" s="1" t="s">
        <v>8</v>
      </c>
      <c r="D54" s="1" t="s">
        <v>1</v>
      </c>
      <c r="E54" s="1">
        <v>20414</v>
      </c>
      <c r="F54" s="2"/>
    </row>
    <row r="55" spans="1:6" ht="22.5" customHeight="1">
      <c r="A55" s="1">
        <v>69</v>
      </c>
      <c r="B55" s="1" t="s">
        <v>22</v>
      </c>
      <c r="C55" s="1" t="s">
        <v>8</v>
      </c>
      <c r="D55" s="1" t="s">
        <v>1</v>
      </c>
      <c r="E55" s="1">
        <v>28874</v>
      </c>
      <c r="F55" s="2"/>
    </row>
    <row r="56" spans="1:6" ht="22.5" customHeight="1">
      <c r="A56" s="1">
        <v>71</v>
      </c>
      <c r="B56" s="1" t="s">
        <v>22</v>
      </c>
      <c r="C56" s="1" t="s">
        <v>7</v>
      </c>
      <c r="D56" s="1" t="s">
        <v>1</v>
      </c>
      <c r="E56" s="1">
        <v>45861</v>
      </c>
      <c r="F56" s="2"/>
    </row>
    <row r="57" spans="1:6" ht="22.5" customHeight="1">
      <c r="A57" s="1">
        <v>72</v>
      </c>
      <c r="B57" s="1" t="s">
        <v>22</v>
      </c>
      <c r="C57" s="1" t="s">
        <v>7</v>
      </c>
      <c r="D57" s="1" t="s">
        <v>1</v>
      </c>
      <c r="E57" s="1">
        <v>23723</v>
      </c>
      <c r="F57" s="2"/>
    </row>
    <row r="58" spans="1:6" ht="22.5" customHeight="1">
      <c r="A58" s="1">
        <v>73</v>
      </c>
      <c r="B58" s="1" t="s">
        <v>22</v>
      </c>
      <c r="C58" s="1" t="s">
        <v>7</v>
      </c>
      <c r="D58" s="1" t="s">
        <v>1</v>
      </c>
      <c r="E58" s="1">
        <v>18200</v>
      </c>
      <c r="F58" s="2"/>
    </row>
    <row r="59" spans="1:6" ht="22.5" customHeight="1">
      <c r="A59" s="1">
        <v>74</v>
      </c>
      <c r="B59" s="1" t="s">
        <v>19</v>
      </c>
      <c r="C59" s="1" t="s">
        <v>8</v>
      </c>
      <c r="D59" s="1" t="s">
        <v>1</v>
      </c>
      <c r="E59" s="1">
        <v>28106</v>
      </c>
      <c r="F59" s="2"/>
    </row>
    <row r="60" spans="1:6" ht="22.5" customHeight="1">
      <c r="A60" s="1">
        <v>75</v>
      </c>
      <c r="B60" s="1" t="s">
        <v>19</v>
      </c>
      <c r="C60" s="1" t="s">
        <v>8</v>
      </c>
      <c r="D60" s="1" t="s">
        <v>1</v>
      </c>
      <c r="E60" s="1">
        <v>19494</v>
      </c>
      <c r="F60" s="2"/>
    </row>
    <row r="61" spans="1:6" ht="22.5" customHeight="1">
      <c r="A61" s="1">
        <v>76</v>
      </c>
      <c r="B61" s="1" t="s">
        <v>19</v>
      </c>
      <c r="C61" s="1" t="s">
        <v>8</v>
      </c>
      <c r="D61" s="1" t="s">
        <v>1</v>
      </c>
      <c r="E61" s="1">
        <v>7453</v>
      </c>
      <c r="F61" s="2"/>
    </row>
    <row r="62" spans="1:6" ht="22.5" customHeight="1">
      <c r="A62" s="1">
        <v>77</v>
      </c>
      <c r="B62" s="1" t="s">
        <v>19</v>
      </c>
      <c r="C62" s="1" t="s">
        <v>8</v>
      </c>
      <c r="D62" s="1" t="s">
        <v>1</v>
      </c>
      <c r="E62" s="1">
        <v>35245</v>
      </c>
      <c r="F62" s="2"/>
    </row>
    <row r="63" spans="1:6" ht="22.5" customHeight="1">
      <c r="A63" s="1">
        <v>78</v>
      </c>
      <c r="B63" s="1" t="s">
        <v>19</v>
      </c>
      <c r="C63" s="1" t="s">
        <v>8</v>
      </c>
      <c r="D63" s="1" t="s">
        <v>1</v>
      </c>
      <c r="E63" s="1">
        <v>12022</v>
      </c>
      <c r="F63" s="2"/>
    </row>
    <row r="64" spans="1:6" ht="22.5" customHeight="1">
      <c r="A64" s="1">
        <v>79</v>
      </c>
      <c r="B64" s="1" t="s">
        <v>19</v>
      </c>
      <c r="C64" s="1" t="s">
        <v>8</v>
      </c>
      <c r="D64" s="1" t="s">
        <v>1</v>
      </c>
      <c r="E64" s="1">
        <v>26366</v>
      </c>
      <c r="F64" s="2"/>
    </row>
    <row r="65" spans="1:6" ht="22.5" customHeight="1">
      <c r="A65" s="1">
        <v>81</v>
      </c>
      <c r="B65" s="1" t="s">
        <v>22</v>
      </c>
      <c r="C65" s="1" t="s">
        <v>7</v>
      </c>
      <c r="D65" s="1" t="s">
        <v>1</v>
      </c>
      <c r="E65" s="1">
        <v>14659</v>
      </c>
      <c r="F65" s="2"/>
    </row>
    <row r="66" spans="1:6" ht="22.5" customHeight="1">
      <c r="A66" s="1">
        <v>82</v>
      </c>
      <c r="B66" s="1" t="s">
        <v>22</v>
      </c>
      <c r="C66" s="1" t="s">
        <v>7</v>
      </c>
      <c r="D66" s="1" t="s">
        <v>1</v>
      </c>
      <c r="E66" s="1">
        <v>17442</v>
      </c>
      <c r="F66" s="2"/>
    </row>
    <row r="67" spans="1:6" ht="22.5" customHeight="1">
      <c r="A67" s="1">
        <v>83</v>
      </c>
      <c r="B67" s="1" t="s">
        <v>22</v>
      </c>
      <c r="C67" s="1" t="s">
        <v>7</v>
      </c>
      <c r="D67" s="1" t="s">
        <v>1</v>
      </c>
      <c r="E67" s="1">
        <v>23191</v>
      </c>
      <c r="F67" s="2"/>
    </row>
    <row r="68" spans="1:6" ht="22.5" customHeight="1">
      <c r="A68" s="1">
        <v>84</v>
      </c>
      <c r="B68" s="1" t="s">
        <v>19</v>
      </c>
      <c r="C68" s="1" t="s">
        <v>8</v>
      </c>
      <c r="D68" s="1" t="s">
        <v>1</v>
      </c>
      <c r="E68" s="1"/>
      <c r="F68" s="2"/>
    </row>
    <row r="69" spans="1:6" ht="22.5" customHeight="1">
      <c r="A69" s="1">
        <v>85</v>
      </c>
      <c r="B69" s="1" t="s">
        <v>19</v>
      </c>
      <c r="C69" s="1" t="s">
        <v>8</v>
      </c>
      <c r="D69" s="1" t="s">
        <v>1</v>
      </c>
      <c r="E69" s="1">
        <v>18416</v>
      </c>
      <c r="F69" s="2"/>
    </row>
    <row r="70" spans="1:6" ht="22.5" customHeight="1">
      <c r="A70" s="1">
        <v>86</v>
      </c>
      <c r="B70" s="1" t="s">
        <v>19</v>
      </c>
      <c r="C70" s="1" t="s">
        <v>8</v>
      </c>
      <c r="D70" s="1" t="s">
        <v>1</v>
      </c>
      <c r="E70" s="1">
        <v>13899</v>
      </c>
      <c r="F70" s="2"/>
    </row>
    <row r="71" spans="1:6" ht="22.5" customHeight="1">
      <c r="A71" s="1">
        <v>87</v>
      </c>
      <c r="B71" s="1" t="s">
        <v>19</v>
      </c>
      <c r="C71" s="1" t="s">
        <v>8</v>
      </c>
      <c r="D71" s="1" t="s">
        <v>1</v>
      </c>
      <c r="E71" s="1">
        <v>26991</v>
      </c>
      <c r="F71" s="2"/>
    </row>
    <row r="72" spans="1:6" ht="22.5" customHeight="1">
      <c r="A72" s="1">
        <v>88</v>
      </c>
      <c r="B72" s="1" t="s">
        <v>19</v>
      </c>
      <c r="C72" s="1" t="s">
        <v>8</v>
      </c>
      <c r="D72" s="1" t="s">
        <v>1</v>
      </c>
      <c r="E72" s="1">
        <v>28850</v>
      </c>
      <c r="F72" s="2"/>
    </row>
    <row r="73" spans="1:6" ht="22.5" customHeight="1">
      <c r="A73" s="1">
        <v>89</v>
      </c>
      <c r="B73" s="1" t="s">
        <v>19</v>
      </c>
      <c r="C73" s="1" t="s">
        <v>8</v>
      </c>
      <c r="D73" s="1" t="s">
        <v>1</v>
      </c>
      <c r="E73" s="1">
        <v>41667</v>
      </c>
      <c r="F73" s="2"/>
    </row>
    <row r="74" spans="1:6" ht="22.5" customHeight="1">
      <c r="A74" s="1">
        <v>91</v>
      </c>
      <c r="B74" s="1" t="s">
        <v>22</v>
      </c>
      <c r="C74" s="1" t="s">
        <v>7</v>
      </c>
      <c r="D74" s="1" t="s">
        <v>1</v>
      </c>
      <c r="E74" s="1">
        <v>16478</v>
      </c>
      <c r="F74" s="2"/>
    </row>
    <row r="75" spans="1:6" ht="22.5" customHeight="1">
      <c r="A75" s="1">
        <v>92</v>
      </c>
      <c r="B75" s="1" t="s">
        <v>22</v>
      </c>
      <c r="C75" s="1" t="s">
        <v>7</v>
      </c>
      <c r="D75" s="1" t="s">
        <v>1</v>
      </c>
      <c r="E75" s="1">
        <v>11425</v>
      </c>
      <c r="F75" s="2"/>
    </row>
    <row r="76" spans="1:6" ht="22.5" customHeight="1">
      <c r="A76" s="1">
        <v>93</v>
      </c>
      <c r="B76" s="1" t="s">
        <v>22</v>
      </c>
      <c r="C76" s="1" t="s">
        <v>7</v>
      </c>
      <c r="D76" s="1" t="s">
        <v>1</v>
      </c>
      <c r="E76" s="1">
        <v>16195</v>
      </c>
      <c r="F76" s="2"/>
    </row>
    <row r="77" spans="1:6" ht="22.5" customHeight="1">
      <c r="A77" s="1">
        <v>94</v>
      </c>
      <c r="B77" s="1" t="s">
        <v>19</v>
      </c>
      <c r="C77" s="1" t="s">
        <v>8</v>
      </c>
      <c r="D77" s="1" t="s">
        <v>1</v>
      </c>
      <c r="E77" s="1">
        <v>9327</v>
      </c>
      <c r="F77" s="2"/>
    </row>
    <row r="78" spans="1:6" ht="22.5" customHeight="1">
      <c r="A78" s="1">
        <v>95</v>
      </c>
      <c r="B78" s="1" t="s">
        <v>19</v>
      </c>
      <c r="C78" s="1" t="s">
        <v>8</v>
      </c>
      <c r="D78" s="1" t="s">
        <v>1</v>
      </c>
      <c r="E78" s="1"/>
      <c r="F78" s="2"/>
    </row>
    <row r="79" spans="1:6" ht="22.5" customHeight="1">
      <c r="A79" s="1">
        <v>96</v>
      </c>
      <c r="B79" s="1" t="s">
        <v>19</v>
      </c>
      <c r="C79" s="1" t="s">
        <v>8</v>
      </c>
      <c r="D79" s="1" t="s">
        <v>1</v>
      </c>
      <c r="E79" s="1">
        <v>19542</v>
      </c>
      <c r="F79" s="2"/>
    </row>
    <row r="80" spans="1:6" ht="22.5" customHeight="1">
      <c r="A80" s="1">
        <v>97</v>
      </c>
      <c r="B80" s="1" t="s">
        <v>19</v>
      </c>
      <c r="C80" s="1" t="s">
        <v>8</v>
      </c>
      <c r="D80" s="1" t="s">
        <v>1</v>
      </c>
      <c r="E80" s="1">
        <v>50677</v>
      </c>
      <c r="F80" s="2"/>
    </row>
    <row r="81" spans="1:6" ht="22.5" customHeight="1">
      <c r="A81" s="1">
        <v>98</v>
      </c>
      <c r="B81" s="1" t="s">
        <v>19</v>
      </c>
      <c r="C81" s="1" t="s">
        <v>8</v>
      </c>
      <c r="D81" s="1" t="s">
        <v>1</v>
      </c>
      <c r="E81" s="1">
        <v>10162</v>
      </c>
      <c r="F81" s="2"/>
    </row>
    <row r="82" spans="1:6" ht="22.5" customHeight="1">
      <c r="A82" s="1">
        <v>99</v>
      </c>
      <c r="B82" s="1" t="s">
        <v>19</v>
      </c>
      <c r="C82" s="1" t="s">
        <v>8</v>
      </c>
      <c r="D82" s="1" t="s">
        <v>1</v>
      </c>
      <c r="E82" s="1">
        <v>14631</v>
      </c>
      <c r="F82" s="2"/>
    </row>
  </sheetData>
  <phoneticPr fontId="1"/>
  <pageMargins left="0.25" right="0.25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D8D37-47D5-4B7D-B088-DC177AC3AF00}">
  <dimension ref="A1:F82"/>
  <sheetViews>
    <sheetView topLeftCell="A33" zoomScale="70" zoomScaleNormal="70" workbookViewId="0">
      <selection activeCell="E2" sqref="E2:E82"/>
    </sheetView>
  </sheetViews>
  <sheetFormatPr defaultRowHeight="22.5" customHeight="1"/>
  <cols>
    <col min="1" max="1" width="8.6640625" style="3"/>
    <col min="2" max="4" width="15" style="3" customWidth="1"/>
    <col min="5" max="5" width="9.1640625" style="3" customWidth="1"/>
    <col min="6" max="6" width="69.4140625" customWidth="1"/>
  </cols>
  <sheetData>
    <row r="1" spans="1:6" ht="22.5" customHeight="1">
      <c r="A1" s="1"/>
      <c r="B1" s="1" t="s">
        <v>15</v>
      </c>
      <c r="C1" s="1" t="s">
        <v>16</v>
      </c>
      <c r="D1" s="1" t="s">
        <v>14</v>
      </c>
      <c r="E1" s="1" t="s">
        <v>11</v>
      </c>
      <c r="F1" s="1" t="s">
        <v>10</v>
      </c>
    </row>
    <row r="2" spans="1:6" ht="22.5" customHeight="1">
      <c r="A2" s="1">
        <v>11</v>
      </c>
      <c r="B2" s="1" t="s">
        <v>21</v>
      </c>
      <c r="C2" s="1" t="s">
        <v>7</v>
      </c>
      <c r="D2" s="1" t="s">
        <v>0</v>
      </c>
      <c r="E2" s="1">
        <v>12825</v>
      </c>
      <c r="F2" s="2" t="s">
        <v>5</v>
      </c>
    </row>
    <row r="3" spans="1:6" ht="22.5" customHeight="1">
      <c r="A3" s="1">
        <v>12</v>
      </c>
      <c r="B3" s="1" t="s">
        <v>21</v>
      </c>
      <c r="C3" s="1" t="s">
        <v>8</v>
      </c>
      <c r="D3" s="1" t="s">
        <v>0</v>
      </c>
      <c r="E3" s="1">
        <v>11899</v>
      </c>
      <c r="F3" s="2"/>
    </row>
    <row r="4" spans="1:6" ht="22.5" customHeight="1">
      <c r="A4" s="1">
        <v>13</v>
      </c>
      <c r="B4" s="1" t="s">
        <v>21</v>
      </c>
      <c r="C4" s="1" t="s">
        <v>8</v>
      </c>
      <c r="D4" s="1" t="s">
        <v>0</v>
      </c>
      <c r="E4" s="1">
        <v>13323</v>
      </c>
      <c r="F4" s="2"/>
    </row>
    <row r="5" spans="1:6" ht="22.5" customHeight="1">
      <c r="A5" s="1">
        <v>14</v>
      </c>
      <c r="B5" s="1" t="s">
        <v>21</v>
      </c>
      <c r="C5" s="1" t="s">
        <v>8</v>
      </c>
      <c r="D5" s="1" t="s">
        <v>0</v>
      </c>
      <c r="E5" s="1">
        <v>21989</v>
      </c>
      <c r="F5" s="2"/>
    </row>
    <row r="6" spans="1:6" ht="22.5" customHeight="1">
      <c r="A6" s="1">
        <v>15</v>
      </c>
      <c r="B6" s="1" t="s">
        <v>21</v>
      </c>
      <c r="C6" s="1" t="s">
        <v>8</v>
      </c>
      <c r="D6" s="1" t="s">
        <v>0</v>
      </c>
      <c r="E6" s="1">
        <v>18570</v>
      </c>
      <c r="F6" s="2"/>
    </row>
    <row r="7" spans="1:6" ht="22.5" customHeight="1">
      <c r="A7" s="1">
        <v>16</v>
      </c>
      <c r="B7" s="1" t="s">
        <v>21</v>
      </c>
      <c r="C7" s="1" t="s">
        <v>8</v>
      </c>
      <c r="D7" s="1" t="s">
        <v>0</v>
      </c>
      <c r="E7" s="1">
        <v>34345</v>
      </c>
      <c r="F7" s="2"/>
    </row>
    <row r="8" spans="1:6" ht="22.5" customHeight="1">
      <c r="A8" s="1">
        <v>17</v>
      </c>
      <c r="B8" s="1" t="s">
        <v>21</v>
      </c>
      <c r="C8" s="1" t="s">
        <v>8</v>
      </c>
      <c r="D8" s="1" t="s">
        <v>0</v>
      </c>
      <c r="E8" s="1">
        <v>25203</v>
      </c>
      <c r="F8" s="2"/>
    </row>
    <row r="9" spans="1:6" ht="22.5" customHeight="1">
      <c r="A9" s="1">
        <v>18</v>
      </c>
      <c r="B9" s="1" t="s">
        <v>21</v>
      </c>
      <c r="C9" s="1" t="s">
        <v>8</v>
      </c>
      <c r="D9" s="1" t="s">
        <v>0</v>
      </c>
      <c r="E9" s="1">
        <v>23147</v>
      </c>
      <c r="F9" s="2"/>
    </row>
    <row r="10" spans="1:6" ht="22.5" customHeight="1">
      <c r="A10" s="1">
        <v>19</v>
      </c>
      <c r="B10" s="1" t="s">
        <v>21</v>
      </c>
      <c r="C10" s="1" t="s">
        <v>8</v>
      </c>
      <c r="D10" s="1" t="s">
        <v>0</v>
      </c>
      <c r="E10" s="1">
        <v>41671</v>
      </c>
      <c r="F10" s="2"/>
    </row>
    <row r="11" spans="1:6" ht="22.5" customHeight="1">
      <c r="A11" s="1">
        <v>21</v>
      </c>
      <c r="B11" s="1" t="s">
        <v>21</v>
      </c>
      <c r="C11" s="1" t="s">
        <v>8</v>
      </c>
      <c r="D11" s="1" t="s">
        <v>0</v>
      </c>
      <c r="E11" s="1">
        <v>20686</v>
      </c>
      <c r="F11" s="2"/>
    </row>
    <row r="12" spans="1:6" ht="22.5" customHeight="1">
      <c r="A12" s="1">
        <v>22</v>
      </c>
      <c r="B12" s="1" t="s">
        <v>21</v>
      </c>
      <c r="C12" s="1" t="s">
        <v>8</v>
      </c>
      <c r="D12" s="1" t="s">
        <v>0</v>
      </c>
      <c r="E12" s="1">
        <v>13263</v>
      </c>
      <c r="F12" s="2"/>
    </row>
    <row r="13" spans="1:6" ht="22.5" customHeight="1">
      <c r="A13" s="1">
        <v>23</v>
      </c>
      <c r="B13" s="1" t="s">
        <v>21</v>
      </c>
      <c r="C13" s="1" t="s">
        <v>8</v>
      </c>
      <c r="D13" s="1" t="s">
        <v>0</v>
      </c>
      <c r="E13" s="1">
        <v>28156</v>
      </c>
      <c r="F13" s="2"/>
    </row>
    <row r="14" spans="1:6" ht="22.5" customHeight="1">
      <c r="A14" s="1">
        <v>24</v>
      </c>
      <c r="B14" s="1" t="s">
        <v>21</v>
      </c>
      <c r="C14" s="1" t="s">
        <v>8</v>
      </c>
      <c r="D14" s="1" t="s">
        <v>0</v>
      </c>
      <c r="E14" s="1">
        <v>15219</v>
      </c>
      <c r="F14" s="2"/>
    </row>
    <row r="15" spans="1:6" ht="22.5" customHeight="1">
      <c r="A15" s="1">
        <v>25</v>
      </c>
      <c r="B15" s="1" t="s">
        <v>21</v>
      </c>
      <c r="C15" s="1" t="s">
        <v>8</v>
      </c>
      <c r="D15" s="1" t="s">
        <v>0</v>
      </c>
      <c r="E15" s="1">
        <v>48261</v>
      </c>
      <c r="F15" s="2"/>
    </row>
    <row r="16" spans="1:6" ht="22.5" customHeight="1">
      <c r="A16" s="1">
        <v>26</v>
      </c>
      <c r="B16" s="1" t="s">
        <v>21</v>
      </c>
      <c r="C16" s="1" t="s">
        <v>8</v>
      </c>
      <c r="D16" s="1" t="s">
        <v>0</v>
      </c>
      <c r="E16" s="1">
        <v>22725</v>
      </c>
      <c r="F16" s="2"/>
    </row>
    <row r="17" spans="1:6" ht="22.5" customHeight="1">
      <c r="A17" s="1">
        <v>27</v>
      </c>
      <c r="B17" s="1" t="s">
        <v>21</v>
      </c>
      <c r="C17" s="1" t="s">
        <v>8</v>
      </c>
      <c r="D17" s="1" t="s">
        <v>0</v>
      </c>
      <c r="E17" s="1">
        <v>34458</v>
      </c>
      <c r="F17" s="2"/>
    </row>
    <row r="18" spans="1:6" ht="22.5" customHeight="1">
      <c r="A18" s="1">
        <v>28</v>
      </c>
      <c r="B18" s="1" t="s">
        <v>21</v>
      </c>
      <c r="C18" s="1" t="s">
        <v>8</v>
      </c>
      <c r="D18" s="1" t="s">
        <v>0</v>
      </c>
      <c r="E18" s="1">
        <v>11079</v>
      </c>
      <c r="F18" s="2"/>
    </row>
    <row r="19" spans="1:6" ht="22.5" customHeight="1">
      <c r="A19" s="1">
        <v>29</v>
      </c>
      <c r="B19" s="1" t="s">
        <v>21</v>
      </c>
      <c r="C19" s="1" t="s">
        <v>8</v>
      </c>
      <c r="D19" s="1" t="s">
        <v>0</v>
      </c>
      <c r="E19" s="1">
        <v>19414</v>
      </c>
      <c r="F19" s="2"/>
    </row>
    <row r="20" spans="1:6" ht="22.5" customHeight="1">
      <c r="A20" s="1">
        <v>31</v>
      </c>
      <c r="B20" s="1" t="s">
        <v>21</v>
      </c>
      <c r="C20" s="1" t="s">
        <v>8</v>
      </c>
      <c r="D20" s="1" t="s">
        <v>0</v>
      </c>
      <c r="E20" s="1">
        <v>34917</v>
      </c>
      <c r="F20" s="2"/>
    </row>
    <row r="21" spans="1:6" ht="22.5" customHeight="1">
      <c r="A21" s="1">
        <v>32</v>
      </c>
      <c r="B21" s="1" t="s">
        <v>21</v>
      </c>
      <c r="C21" s="1" t="s">
        <v>8</v>
      </c>
      <c r="D21" s="1" t="s">
        <v>0</v>
      </c>
      <c r="E21" s="1">
        <v>32221</v>
      </c>
      <c r="F21" s="2"/>
    </row>
    <row r="22" spans="1:6" ht="22.5" customHeight="1">
      <c r="A22" s="1">
        <v>33</v>
      </c>
      <c r="B22" s="1" t="s">
        <v>21</v>
      </c>
      <c r="C22" s="1" t="s">
        <v>8</v>
      </c>
      <c r="D22" s="1" t="s">
        <v>0</v>
      </c>
      <c r="E22" s="1">
        <v>18720</v>
      </c>
      <c r="F22" s="2"/>
    </row>
    <row r="23" spans="1:6" ht="22.5" customHeight="1">
      <c r="A23" s="1">
        <v>34</v>
      </c>
      <c r="B23" s="1" t="s">
        <v>21</v>
      </c>
      <c r="C23" s="1" t="s">
        <v>8</v>
      </c>
      <c r="D23" s="1" t="s">
        <v>0</v>
      </c>
      <c r="E23" s="1">
        <v>27049</v>
      </c>
      <c r="F23" s="2"/>
    </row>
    <row r="24" spans="1:6" ht="22.5" customHeight="1">
      <c r="A24" s="1">
        <v>35</v>
      </c>
      <c r="B24" s="1" t="s">
        <v>21</v>
      </c>
      <c r="C24" s="1" t="s">
        <v>8</v>
      </c>
      <c r="D24" s="1" t="s">
        <v>0</v>
      </c>
      <c r="E24" s="1">
        <v>27525</v>
      </c>
      <c r="F24" s="2"/>
    </row>
    <row r="25" spans="1:6" ht="22.5" customHeight="1">
      <c r="A25" s="1">
        <v>36</v>
      </c>
      <c r="B25" s="1" t="s">
        <v>21</v>
      </c>
      <c r="C25" s="1" t="s">
        <v>8</v>
      </c>
      <c r="D25" s="1" t="s">
        <v>0</v>
      </c>
      <c r="E25" s="1">
        <v>22717</v>
      </c>
      <c r="F25" s="2"/>
    </row>
    <row r="26" spans="1:6" ht="22.5" customHeight="1">
      <c r="A26" s="1">
        <v>37</v>
      </c>
      <c r="B26" s="1" t="s">
        <v>21</v>
      </c>
      <c r="C26" s="1" t="s">
        <v>8</v>
      </c>
      <c r="D26" s="1" t="s">
        <v>0</v>
      </c>
      <c r="E26" s="1">
        <v>45058</v>
      </c>
      <c r="F26" s="2"/>
    </row>
    <row r="27" spans="1:6" ht="22.5" customHeight="1">
      <c r="A27" s="1">
        <v>38</v>
      </c>
      <c r="B27" s="1" t="s">
        <v>21</v>
      </c>
      <c r="C27" s="1" t="s">
        <v>8</v>
      </c>
      <c r="D27" s="1" t="s">
        <v>0</v>
      </c>
      <c r="E27" s="1">
        <v>38819</v>
      </c>
      <c r="F27" s="2"/>
    </row>
    <row r="28" spans="1:6" ht="22.5" customHeight="1">
      <c r="A28" s="1">
        <v>39</v>
      </c>
      <c r="B28" s="1" t="s">
        <v>21</v>
      </c>
      <c r="C28" s="1" t="s">
        <v>8</v>
      </c>
      <c r="D28" s="1" t="s">
        <v>0</v>
      </c>
      <c r="E28" s="1">
        <v>22025</v>
      </c>
      <c r="F28" s="2"/>
    </row>
    <row r="29" spans="1:6" ht="22.5" customHeight="1">
      <c r="A29" s="1">
        <v>41</v>
      </c>
      <c r="B29" s="1" t="s">
        <v>20</v>
      </c>
      <c r="C29" s="1" t="s">
        <v>8</v>
      </c>
      <c r="D29" s="1" t="s">
        <v>1</v>
      </c>
      <c r="E29" s="1">
        <v>19537</v>
      </c>
      <c r="F29" s="2"/>
    </row>
    <row r="30" spans="1:6" ht="22.5" customHeight="1">
      <c r="A30" s="1">
        <v>42</v>
      </c>
      <c r="B30" s="1" t="s">
        <v>20</v>
      </c>
      <c r="C30" s="1" t="s">
        <v>8</v>
      </c>
      <c r="D30" s="1" t="s">
        <v>1</v>
      </c>
      <c r="E30" s="1">
        <v>26792</v>
      </c>
      <c r="F30" s="2"/>
    </row>
    <row r="31" spans="1:6" ht="22.5" customHeight="1">
      <c r="A31" s="1">
        <v>43</v>
      </c>
      <c r="B31" s="1" t="s">
        <v>20</v>
      </c>
      <c r="C31" s="1" t="s">
        <v>8</v>
      </c>
      <c r="D31" s="1" t="s">
        <v>1</v>
      </c>
      <c r="E31" s="1">
        <v>16874</v>
      </c>
      <c r="F31" s="2"/>
    </row>
    <row r="32" spans="1:6" ht="22.5" customHeight="1">
      <c r="A32" s="1">
        <v>44</v>
      </c>
      <c r="B32" s="1" t="s">
        <v>20</v>
      </c>
      <c r="C32" s="1" t="s">
        <v>8</v>
      </c>
      <c r="D32" s="1" t="s">
        <v>1</v>
      </c>
      <c r="E32" s="1">
        <v>18572</v>
      </c>
      <c r="F32" s="2"/>
    </row>
    <row r="33" spans="1:6" ht="22.5" customHeight="1">
      <c r="A33" s="1">
        <v>45</v>
      </c>
      <c r="B33" s="1" t="s">
        <v>20</v>
      </c>
      <c r="C33" s="1" t="s">
        <v>8</v>
      </c>
      <c r="D33" s="1" t="s">
        <v>1</v>
      </c>
      <c r="E33" s="1">
        <v>17737</v>
      </c>
      <c r="F33" s="2"/>
    </row>
    <row r="34" spans="1:6" ht="22.5" customHeight="1">
      <c r="A34" s="1">
        <v>46</v>
      </c>
      <c r="B34" s="1" t="s">
        <v>20</v>
      </c>
      <c r="C34" s="1" t="s">
        <v>8</v>
      </c>
      <c r="D34" s="1" t="s">
        <v>1</v>
      </c>
      <c r="E34" s="1">
        <v>27294</v>
      </c>
      <c r="F34" s="2"/>
    </row>
    <row r="35" spans="1:6" ht="22.5" customHeight="1">
      <c r="A35" s="1">
        <v>47</v>
      </c>
      <c r="B35" s="1" t="s">
        <v>20</v>
      </c>
      <c r="C35" s="1" t="s">
        <v>8</v>
      </c>
      <c r="D35" s="1" t="s">
        <v>1</v>
      </c>
      <c r="E35" s="1">
        <v>17216</v>
      </c>
      <c r="F35" s="2"/>
    </row>
    <row r="36" spans="1:6" ht="22.5" customHeight="1">
      <c r="A36" s="1">
        <v>48</v>
      </c>
      <c r="B36" s="1" t="s">
        <v>20</v>
      </c>
      <c r="C36" s="1" t="s">
        <v>8</v>
      </c>
      <c r="D36" s="1" t="s">
        <v>1</v>
      </c>
      <c r="E36" s="1">
        <v>23932</v>
      </c>
      <c r="F36" s="2"/>
    </row>
    <row r="37" spans="1:6" ht="22.5" customHeight="1">
      <c r="A37" s="1">
        <v>49</v>
      </c>
      <c r="B37" s="1" t="s">
        <v>20</v>
      </c>
      <c r="C37" s="1" t="s">
        <v>8</v>
      </c>
      <c r="D37" s="1" t="s">
        <v>1</v>
      </c>
      <c r="E37" s="1">
        <v>9822</v>
      </c>
      <c r="F37" s="2"/>
    </row>
    <row r="38" spans="1:6" ht="22.5" customHeight="1">
      <c r="A38" s="1">
        <v>51</v>
      </c>
      <c r="B38" s="1" t="s">
        <v>20</v>
      </c>
      <c r="C38" s="1" t="s">
        <v>8</v>
      </c>
      <c r="D38" s="1" t="s">
        <v>1</v>
      </c>
      <c r="E38" s="1">
        <v>10338</v>
      </c>
      <c r="F38" s="2"/>
    </row>
    <row r="39" spans="1:6" ht="22.5" customHeight="1">
      <c r="A39" s="1">
        <v>52</v>
      </c>
      <c r="B39" s="1" t="s">
        <v>20</v>
      </c>
      <c r="C39" s="1" t="s">
        <v>8</v>
      </c>
      <c r="D39" s="1" t="s">
        <v>1</v>
      </c>
      <c r="E39" s="1">
        <v>24859</v>
      </c>
      <c r="F39" s="2"/>
    </row>
    <row r="40" spans="1:6" ht="22.5" customHeight="1">
      <c r="A40" s="1">
        <v>53</v>
      </c>
      <c r="B40" s="1" t="s">
        <v>20</v>
      </c>
      <c r="C40" s="1" t="s">
        <v>8</v>
      </c>
      <c r="D40" s="1" t="s">
        <v>1</v>
      </c>
      <c r="E40" s="1">
        <v>25164</v>
      </c>
      <c r="F40" s="2"/>
    </row>
    <row r="41" spans="1:6" ht="22.5" customHeight="1">
      <c r="A41" s="1">
        <v>54</v>
      </c>
      <c r="B41" s="1" t="s">
        <v>20</v>
      </c>
      <c r="C41" s="1" t="s">
        <v>8</v>
      </c>
      <c r="D41" s="1" t="s">
        <v>1</v>
      </c>
      <c r="E41" s="1">
        <v>24160</v>
      </c>
      <c r="F41" s="2"/>
    </row>
    <row r="42" spans="1:6" ht="22.5" customHeight="1">
      <c r="A42" s="1">
        <v>55</v>
      </c>
      <c r="B42" s="1" t="s">
        <v>20</v>
      </c>
      <c r="C42" s="1" t="s">
        <v>8</v>
      </c>
      <c r="D42" s="1" t="s">
        <v>1</v>
      </c>
      <c r="E42" s="1">
        <v>16554</v>
      </c>
      <c r="F42" s="2"/>
    </row>
    <row r="43" spans="1:6" ht="22.5" customHeight="1">
      <c r="A43" s="1">
        <v>56</v>
      </c>
      <c r="B43" s="1" t="s">
        <v>20</v>
      </c>
      <c r="C43" s="1" t="s">
        <v>8</v>
      </c>
      <c r="D43" s="1" t="s">
        <v>1</v>
      </c>
      <c r="E43" s="1">
        <v>40022</v>
      </c>
      <c r="F43" s="2"/>
    </row>
    <row r="44" spans="1:6" ht="22.5" customHeight="1">
      <c r="A44" s="1">
        <v>57</v>
      </c>
      <c r="B44" s="1" t="s">
        <v>20</v>
      </c>
      <c r="C44" s="1" t="s">
        <v>8</v>
      </c>
      <c r="D44" s="1" t="s">
        <v>1</v>
      </c>
      <c r="E44" s="1">
        <v>8747</v>
      </c>
      <c r="F44" s="2"/>
    </row>
    <row r="45" spans="1:6" ht="22.5" customHeight="1">
      <c r="A45" s="1">
        <v>58</v>
      </c>
      <c r="B45" s="1" t="s">
        <v>20</v>
      </c>
      <c r="C45" s="1" t="s">
        <v>8</v>
      </c>
      <c r="D45" s="1" t="s">
        <v>1</v>
      </c>
      <c r="E45" s="1">
        <v>28327</v>
      </c>
      <c r="F45" s="2"/>
    </row>
    <row r="46" spans="1:6" ht="22.5" customHeight="1">
      <c r="A46" s="1">
        <v>59</v>
      </c>
      <c r="B46" s="1" t="s">
        <v>20</v>
      </c>
      <c r="C46" s="1" t="s">
        <v>8</v>
      </c>
      <c r="D46" s="1" t="s">
        <v>1</v>
      </c>
      <c r="E46" s="1">
        <v>20788</v>
      </c>
      <c r="F46" s="2"/>
    </row>
    <row r="47" spans="1:6" ht="22.5" customHeight="1">
      <c r="A47" s="1">
        <v>61</v>
      </c>
      <c r="B47" s="1" t="s">
        <v>20</v>
      </c>
      <c r="C47" s="1" t="s">
        <v>8</v>
      </c>
      <c r="D47" s="1" t="s">
        <v>1</v>
      </c>
      <c r="E47" s="1"/>
      <c r="F47" s="2"/>
    </row>
    <row r="48" spans="1:6" ht="22.5" customHeight="1">
      <c r="A48" s="1">
        <v>62</v>
      </c>
      <c r="B48" s="1" t="s">
        <v>20</v>
      </c>
      <c r="C48" s="1" t="s">
        <v>8</v>
      </c>
      <c r="D48" s="1" t="s">
        <v>1</v>
      </c>
      <c r="E48" s="1">
        <v>17825</v>
      </c>
      <c r="F48" s="2"/>
    </row>
    <row r="49" spans="1:6" ht="22.5" customHeight="1">
      <c r="A49" s="1">
        <v>63</v>
      </c>
      <c r="B49" s="1" t="s">
        <v>20</v>
      </c>
      <c r="C49" s="1" t="s">
        <v>8</v>
      </c>
      <c r="D49" s="1" t="s">
        <v>1</v>
      </c>
      <c r="E49" s="1">
        <v>21309</v>
      </c>
      <c r="F49" s="2"/>
    </row>
    <row r="50" spans="1:6" ht="22.5" customHeight="1">
      <c r="A50" s="1">
        <v>64</v>
      </c>
      <c r="B50" s="1" t="s">
        <v>20</v>
      </c>
      <c r="C50" s="1" t="s">
        <v>8</v>
      </c>
      <c r="D50" s="1" t="s">
        <v>1</v>
      </c>
      <c r="E50" s="1">
        <v>26803</v>
      </c>
      <c r="F50" s="2"/>
    </row>
    <row r="51" spans="1:6" ht="22.5" customHeight="1">
      <c r="A51" s="1">
        <v>65</v>
      </c>
      <c r="B51" s="1" t="s">
        <v>20</v>
      </c>
      <c r="C51" s="1" t="s">
        <v>8</v>
      </c>
      <c r="D51" s="1" t="s">
        <v>1</v>
      </c>
      <c r="E51" s="1">
        <v>39625</v>
      </c>
      <c r="F51" s="2"/>
    </row>
    <row r="52" spans="1:6" ht="22.5" customHeight="1">
      <c r="A52" s="1">
        <v>66</v>
      </c>
      <c r="B52" s="1" t="s">
        <v>20</v>
      </c>
      <c r="C52" s="1" t="s">
        <v>8</v>
      </c>
      <c r="D52" s="1" t="s">
        <v>1</v>
      </c>
      <c r="E52" s="1">
        <v>19731</v>
      </c>
      <c r="F52" s="2"/>
    </row>
    <row r="53" spans="1:6" ht="22.5" customHeight="1">
      <c r="A53" s="1">
        <v>67</v>
      </c>
      <c r="B53" s="1" t="s">
        <v>20</v>
      </c>
      <c r="C53" s="1" t="s">
        <v>8</v>
      </c>
      <c r="D53" s="1" t="s">
        <v>1</v>
      </c>
      <c r="E53" s="1">
        <v>14381</v>
      </c>
      <c r="F53" s="2"/>
    </row>
    <row r="54" spans="1:6" ht="22.5" customHeight="1">
      <c r="A54" s="1">
        <v>68</v>
      </c>
      <c r="B54" s="1" t="s">
        <v>20</v>
      </c>
      <c r="C54" s="1" t="s">
        <v>8</v>
      </c>
      <c r="D54" s="1" t="s">
        <v>1</v>
      </c>
      <c r="E54" s="1">
        <v>14722</v>
      </c>
      <c r="F54" s="2"/>
    </row>
    <row r="55" spans="1:6" ht="22.5" customHeight="1">
      <c r="A55" s="1">
        <v>69</v>
      </c>
      <c r="B55" s="1" t="s">
        <v>20</v>
      </c>
      <c r="C55" s="1" t="s">
        <v>8</v>
      </c>
      <c r="D55" s="1" t="s">
        <v>1</v>
      </c>
      <c r="E55" s="1">
        <v>18900</v>
      </c>
      <c r="F55" s="2"/>
    </row>
    <row r="56" spans="1:6" ht="22.5" customHeight="1">
      <c r="A56" s="1">
        <v>71</v>
      </c>
      <c r="B56" s="1" t="s">
        <v>20</v>
      </c>
      <c r="C56" s="1" t="s">
        <v>7</v>
      </c>
      <c r="D56" s="1" t="s">
        <v>1</v>
      </c>
      <c r="E56" s="1">
        <v>21455</v>
      </c>
      <c r="F56" s="2"/>
    </row>
    <row r="57" spans="1:6" ht="22.5" customHeight="1">
      <c r="A57" s="1">
        <v>72</v>
      </c>
      <c r="B57" s="1" t="s">
        <v>20</v>
      </c>
      <c r="C57" s="1" t="s">
        <v>7</v>
      </c>
      <c r="D57" s="1" t="s">
        <v>1</v>
      </c>
      <c r="E57" s="1">
        <v>36773</v>
      </c>
      <c r="F57" s="2"/>
    </row>
    <row r="58" spans="1:6" ht="22.5" customHeight="1">
      <c r="A58" s="1">
        <v>73</v>
      </c>
      <c r="B58" s="1" t="s">
        <v>20</v>
      </c>
      <c r="C58" s="1" t="s">
        <v>7</v>
      </c>
      <c r="D58" s="1" t="s">
        <v>1</v>
      </c>
      <c r="E58" s="1">
        <v>8134</v>
      </c>
      <c r="F58" s="2"/>
    </row>
    <row r="59" spans="1:6" ht="22.5" customHeight="1">
      <c r="A59" s="1">
        <v>74</v>
      </c>
      <c r="B59" s="1" t="s">
        <v>20</v>
      </c>
      <c r="C59" s="1" t="s">
        <v>7</v>
      </c>
      <c r="D59" s="1" t="s">
        <v>1</v>
      </c>
      <c r="E59" s="1">
        <v>29992</v>
      </c>
      <c r="F59" s="2"/>
    </row>
    <row r="60" spans="1:6" ht="22.5" customHeight="1">
      <c r="A60" s="1">
        <v>75</v>
      </c>
      <c r="B60" s="1" t="s">
        <v>20</v>
      </c>
      <c r="C60" s="1" t="s">
        <v>7</v>
      </c>
      <c r="D60" s="1" t="s">
        <v>1</v>
      </c>
      <c r="E60" s="1">
        <v>10723</v>
      </c>
      <c r="F60" s="2"/>
    </row>
    <row r="61" spans="1:6" ht="22.5" customHeight="1">
      <c r="A61" s="1">
        <v>76</v>
      </c>
      <c r="B61" s="1" t="s">
        <v>20</v>
      </c>
      <c r="C61" s="1" t="s">
        <v>7</v>
      </c>
      <c r="D61" s="1" t="s">
        <v>1</v>
      </c>
      <c r="E61" s="1"/>
      <c r="F61" s="2"/>
    </row>
    <row r="62" spans="1:6" ht="22.5" customHeight="1">
      <c r="A62" s="1">
        <v>77</v>
      </c>
      <c r="B62" s="1" t="s">
        <v>20</v>
      </c>
      <c r="C62" s="1" t="s">
        <v>7</v>
      </c>
      <c r="D62" s="1" t="s">
        <v>1</v>
      </c>
      <c r="E62" s="1">
        <v>24024</v>
      </c>
      <c r="F62" s="2"/>
    </row>
    <row r="63" spans="1:6" ht="22.5" customHeight="1">
      <c r="A63" s="1">
        <v>78</v>
      </c>
      <c r="B63" s="1" t="s">
        <v>20</v>
      </c>
      <c r="C63" s="1" t="s">
        <v>7</v>
      </c>
      <c r="D63" s="1" t="s">
        <v>1</v>
      </c>
      <c r="E63" s="1">
        <v>12651</v>
      </c>
      <c r="F63" s="2"/>
    </row>
    <row r="64" spans="1:6" ht="22.5" customHeight="1">
      <c r="A64" s="1">
        <v>79</v>
      </c>
      <c r="B64" s="1" t="s">
        <v>20</v>
      </c>
      <c r="C64" s="1" t="s">
        <v>7</v>
      </c>
      <c r="D64" s="1" t="s">
        <v>1</v>
      </c>
      <c r="E64" s="1">
        <v>33233</v>
      </c>
      <c r="F64" s="2"/>
    </row>
    <row r="65" spans="1:6" ht="22.5" customHeight="1">
      <c r="A65" s="1">
        <v>81</v>
      </c>
      <c r="B65" s="1" t="s">
        <v>20</v>
      </c>
      <c r="C65" s="1" t="s">
        <v>7</v>
      </c>
      <c r="D65" s="1" t="s">
        <v>1</v>
      </c>
      <c r="E65" s="1">
        <v>18873</v>
      </c>
      <c r="F65" s="2"/>
    </row>
    <row r="66" spans="1:6" ht="22.5" customHeight="1">
      <c r="A66" s="1">
        <v>82</v>
      </c>
      <c r="B66" s="1" t="s">
        <v>20</v>
      </c>
      <c r="C66" s="1" t="s">
        <v>7</v>
      </c>
      <c r="D66" s="1" t="s">
        <v>1</v>
      </c>
      <c r="E66" s="1">
        <v>27089</v>
      </c>
      <c r="F66" s="2"/>
    </row>
    <row r="67" spans="1:6" ht="22.5" customHeight="1">
      <c r="A67" s="1">
        <v>83</v>
      </c>
      <c r="B67" s="1" t="s">
        <v>20</v>
      </c>
      <c r="C67" s="1" t="s">
        <v>7</v>
      </c>
      <c r="D67" s="1" t="s">
        <v>1</v>
      </c>
      <c r="E67" s="1">
        <v>41251</v>
      </c>
      <c r="F67" s="2"/>
    </row>
    <row r="68" spans="1:6" ht="22.5" customHeight="1">
      <c r="A68" s="1">
        <v>84</v>
      </c>
      <c r="B68" s="1" t="s">
        <v>20</v>
      </c>
      <c r="C68" s="1" t="s">
        <v>7</v>
      </c>
      <c r="D68" s="1" t="s">
        <v>1</v>
      </c>
      <c r="E68" s="1">
        <v>15520</v>
      </c>
      <c r="F68" s="2"/>
    </row>
    <row r="69" spans="1:6" ht="22.5" customHeight="1">
      <c r="A69" s="1">
        <v>85</v>
      </c>
      <c r="B69" s="1" t="s">
        <v>20</v>
      </c>
      <c r="C69" s="1" t="s">
        <v>7</v>
      </c>
      <c r="D69" s="1" t="s">
        <v>1</v>
      </c>
      <c r="E69" s="1">
        <v>7629</v>
      </c>
      <c r="F69" s="2"/>
    </row>
    <row r="70" spans="1:6" ht="22.5" customHeight="1">
      <c r="A70" s="1">
        <v>86</v>
      </c>
      <c r="B70" s="1" t="s">
        <v>20</v>
      </c>
      <c r="C70" s="1" t="s">
        <v>7</v>
      </c>
      <c r="D70" s="1" t="s">
        <v>1</v>
      </c>
      <c r="E70" s="1">
        <v>39200</v>
      </c>
      <c r="F70" s="2"/>
    </row>
    <row r="71" spans="1:6" ht="22.5" customHeight="1">
      <c r="A71" s="1">
        <v>87</v>
      </c>
      <c r="B71" s="1" t="s">
        <v>20</v>
      </c>
      <c r="C71" s="1" t="s">
        <v>7</v>
      </c>
      <c r="D71" s="1" t="s">
        <v>1</v>
      </c>
      <c r="E71" s="1">
        <v>27439</v>
      </c>
      <c r="F71" s="2"/>
    </row>
    <row r="72" spans="1:6" ht="22.5" customHeight="1">
      <c r="A72" s="1">
        <v>88</v>
      </c>
      <c r="B72" s="1" t="s">
        <v>20</v>
      </c>
      <c r="C72" s="1" t="s">
        <v>7</v>
      </c>
      <c r="D72" s="1" t="s">
        <v>1</v>
      </c>
      <c r="E72" s="1">
        <v>16067</v>
      </c>
      <c r="F72" s="2"/>
    </row>
    <row r="73" spans="1:6" ht="22.5" customHeight="1">
      <c r="A73" s="1">
        <v>89</v>
      </c>
      <c r="B73" s="1" t="s">
        <v>20</v>
      </c>
      <c r="C73" s="1" t="s">
        <v>7</v>
      </c>
      <c r="D73" s="1" t="s">
        <v>1</v>
      </c>
      <c r="E73" s="1">
        <v>23861</v>
      </c>
      <c r="F73" s="2"/>
    </row>
    <row r="74" spans="1:6" ht="22.5" customHeight="1">
      <c r="A74" s="1">
        <v>91</v>
      </c>
      <c r="B74" s="1" t="s">
        <v>20</v>
      </c>
      <c r="C74" s="1" t="s">
        <v>7</v>
      </c>
      <c r="D74" s="1" t="s">
        <v>1</v>
      </c>
      <c r="E74" s="1">
        <v>10432</v>
      </c>
      <c r="F74" s="2"/>
    </row>
    <row r="75" spans="1:6" ht="22.5" customHeight="1">
      <c r="A75" s="1">
        <v>92</v>
      </c>
      <c r="B75" s="1" t="s">
        <v>20</v>
      </c>
      <c r="C75" s="1" t="s">
        <v>7</v>
      </c>
      <c r="D75" s="1" t="s">
        <v>1</v>
      </c>
      <c r="E75" s="1">
        <v>18011</v>
      </c>
      <c r="F75" s="2"/>
    </row>
    <row r="76" spans="1:6" ht="22.5" customHeight="1">
      <c r="A76" s="1">
        <v>93</v>
      </c>
      <c r="B76" s="1" t="s">
        <v>20</v>
      </c>
      <c r="C76" s="1" t="s">
        <v>7</v>
      </c>
      <c r="D76" s="1" t="s">
        <v>1</v>
      </c>
      <c r="E76" s="1">
        <v>14051</v>
      </c>
      <c r="F76" s="2"/>
    </row>
    <row r="77" spans="1:6" ht="22.5" customHeight="1">
      <c r="A77" s="1">
        <v>94</v>
      </c>
      <c r="B77" s="1" t="s">
        <v>20</v>
      </c>
      <c r="C77" s="1" t="s">
        <v>7</v>
      </c>
      <c r="D77" s="1" t="s">
        <v>1</v>
      </c>
      <c r="E77" s="1">
        <v>29608</v>
      </c>
      <c r="F77" s="2"/>
    </row>
    <row r="78" spans="1:6" ht="22.5" customHeight="1">
      <c r="A78" s="1">
        <v>95</v>
      </c>
      <c r="B78" s="1" t="s">
        <v>20</v>
      </c>
      <c r="C78" s="1" t="s">
        <v>7</v>
      </c>
      <c r="D78" s="1" t="s">
        <v>1</v>
      </c>
      <c r="E78" s="1">
        <v>11441</v>
      </c>
      <c r="F78" s="2"/>
    </row>
    <row r="79" spans="1:6" ht="22.5" customHeight="1">
      <c r="A79" s="1">
        <v>96</v>
      </c>
      <c r="B79" s="1" t="s">
        <v>20</v>
      </c>
      <c r="C79" s="1" t="s">
        <v>7</v>
      </c>
      <c r="D79" s="1" t="s">
        <v>1</v>
      </c>
      <c r="E79" s="1">
        <v>24194</v>
      </c>
      <c r="F79" s="2"/>
    </row>
    <row r="80" spans="1:6" ht="22.5" customHeight="1">
      <c r="A80" s="1">
        <v>97</v>
      </c>
      <c r="B80" s="1" t="s">
        <v>20</v>
      </c>
      <c r="C80" s="1" t="s">
        <v>7</v>
      </c>
      <c r="D80" s="1" t="s">
        <v>1</v>
      </c>
      <c r="E80" s="1">
        <v>30751</v>
      </c>
      <c r="F80" s="2"/>
    </row>
    <row r="81" spans="1:6" ht="22.5" customHeight="1">
      <c r="A81" s="1">
        <v>98</v>
      </c>
      <c r="B81" s="1" t="s">
        <v>20</v>
      </c>
      <c r="C81" s="1" t="s">
        <v>7</v>
      </c>
      <c r="D81" s="1" t="s">
        <v>1</v>
      </c>
      <c r="E81" s="1">
        <v>15017</v>
      </c>
      <c r="F81" s="2"/>
    </row>
    <row r="82" spans="1:6" ht="22.5" customHeight="1">
      <c r="A82" s="1">
        <v>99</v>
      </c>
      <c r="B82" s="1" t="s">
        <v>19</v>
      </c>
      <c r="C82" s="1" t="s">
        <v>7</v>
      </c>
      <c r="D82" s="1" t="s">
        <v>1</v>
      </c>
      <c r="E82" s="1">
        <v>27267</v>
      </c>
      <c r="F82" s="2"/>
    </row>
  </sheetData>
  <phoneticPr fontId="1"/>
  <dataValidations count="3">
    <dataValidation type="list" allowBlank="1" showInputMessage="1" showErrorMessage="1" sqref="B83:B1048576" xr:uid="{790D9D7E-D1A8-4E07-82D0-2DDD416A40D0}">
      <formula1>"全塗りつぶし, 枠あり, 枠無し, 枠あり(内側0.1), 枠無し(内側0.15), 枠あり(内側0.15), カッパー"</formula1>
    </dataValidation>
    <dataValidation type="list" allowBlank="1" showInputMessage="1" showErrorMessage="1" sqref="C83:C1048576" xr:uid="{67F10F55-7E88-4457-9D35-8393D6BA21A1}">
      <formula1>"ライン, クロス, ドット"</formula1>
    </dataValidation>
    <dataValidation type="list" allowBlank="1" showInputMessage="1" showErrorMessage="1" sqref="D83:D1048576" xr:uid="{E489156D-8697-4B79-984F-35FEDBB54170}">
      <formula1>"0.1mm, 0.01mm"</formula1>
    </dataValidation>
  </dataValidations>
  <pageMargins left="0.25" right="0.25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69612-765E-4E01-A1A0-3DBFDB3F15BB}">
  <dimension ref="A1:F82"/>
  <sheetViews>
    <sheetView workbookViewId="0">
      <selection activeCell="F31" sqref="F31"/>
    </sheetView>
  </sheetViews>
  <sheetFormatPr defaultRowHeight="18"/>
  <cols>
    <col min="1" max="1" width="8.6640625" style="3"/>
    <col min="2" max="4" width="15" style="3" customWidth="1"/>
    <col min="5" max="5" width="9.1640625" style="3" customWidth="1"/>
    <col min="6" max="6" width="69.4140625" customWidth="1"/>
  </cols>
  <sheetData>
    <row r="1" spans="1:6" ht="22.5" customHeight="1">
      <c r="A1" s="1"/>
      <c r="B1" s="1" t="s">
        <v>15</v>
      </c>
      <c r="C1" s="1" t="s">
        <v>16</v>
      </c>
      <c r="D1" s="1" t="s">
        <v>14</v>
      </c>
      <c r="E1" s="1" t="s">
        <v>11</v>
      </c>
      <c r="F1" s="1" t="s">
        <v>10</v>
      </c>
    </row>
    <row r="2" spans="1:6" ht="22.5" customHeight="1">
      <c r="A2" s="1">
        <v>11</v>
      </c>
      <c r="B2" s="1" t="s">
        <v>17</v>
      </c>
      <c r="C2" s="1" t="s">
        <v>17</v>
      </c>
      <c r="D2" s="1" t="s">
        <v>17</v>
      </c>
      <c r="E2" s="1">
        <v>14507</v>
      </c>
      <c r="F2" s="2"/>
    </row>
    <row r="3" spans="1:6" ht="22.5" customHeight="1">
      <c r="A3" s="1">
        <v>12</v>
      </c>
      <c r="B3" s="1" t="s">
        <v>17</v>
      </c>
      <c r="C3" s="1" t="s">
        <v>17</v>
      </c>
      <c r="D3" s="1" t="s">
        <v>17</v>
      </c>
      <c r="E3" s="1">
        <v>24549</v>
      </c>
      <c r="F3" s="2"/>
    </row>
    <row r="4" spans="1:6" ht="22.5" customHeight="1">
      <c r="A4" s="1">
        <v>13</v>
      </c>
      <c r="B4" s="1" t="s">
        <v>17</v>
      </c>
      <c r="C4" s="1" t="s">
        <v>17</v>
      </c>
      <c r="D4" s="1" t="s">
        <v>17</v>
      </c>
      <c r="E4" s="1">
        <v>32785</v>
      </c>
      <c r="F4" s="2"/>
    </row>
    <row r="5" spans="1:6" ht="22.5" customHeight="1">
      <c r="A5" s="1">
        <v>14</v>
      </c>
      <c r="B5" s="1" t="s">
        <v>17</v>
      </c>
      <c r="C5" s="1" t="s">
        <v>17</v>
      </c>
      <c r="D5" s="1" t="s">
        <v>17</v>
      </c>
      <c r="E5" s="1">
        <v>29105</v>
      </c>
      <c r="F5" s="2"/>
    </row>
    <row r="6" spans="1:6" ht="22.5" customHeight="1">
      <c r="A6" s="1">
        <v>15</v>
      </c>
      <c r="B6" s="1" t="s">
        <v>17</v>
      </c>
      <c r="C6" s="1" t="s">
        <v>17</v>
      </c>
      <c r="D6" s="1" t="s">
        <v>17</v>
      </c>
      <c r="E6" s="1">
        <v>15532</v>
      </c>
      <c r="F6" s="2"/>
    </row>
    <row r="7" spans="1:6" ht="22.5" customHeight="1">
      <c r="A7" s="1">
        <v>16</v>
      </c>
      <c r="B7" s="1" t="s">
        <v>17</v>
      </c>
      <c r="C7" s="1" t="s">
        <v>17</v>
      </c>
      <c r="D7" s="1" t="s">
        <v>17</v>
      </c>
      <c r="E7" s="1">
        <v>17018</v>
      </c>
      <c r="F7" s="2"/>
    </row>
    <row r="8" spans="1:6" ht="22.5" customHeight="1">
      <c r="A8" s="1">
        <v>17</v>
      </c>
      <c r="B8" s="1" t="s">
        <v>17</v>
      </c>
      <c r="C8" s="1" t="s">
        <v>17</v>
      </c>
      <c r="D8" s="1" t="s">
        <v>17</v>
      </c>
      <c r="E8" s="1">
        <v>33432</v>
      </c>
      <c r="F8" s="2"/>
    </row>
    <row r="9" spans="1:6" ht="22.5" customHeight="1">
      <c r="A9" s="1">
        <v>18</v>
      </c>
      <c r="B9" s="1" t="s">
        <v>17</v>
      </c>
      <c r="C9" s="1" t="s">
        <v>17</v>
      </c>
      <c r="D9" s="1" t="s">
        <v>17</v>
      </c>
      <c r="E9" s="1">
        <v>30004</v>
      </c>
      <c r="F9" s="2"/>
    </row>
    <row r="10" spans="1:6" ht="22.5" customHeight="1">
      <c r="A10" s="1">
        <v>19</v>
      </c>
      <c r="B10" s="1" t="s">
        <v>17</v>
      </c>
      <c r="C10" s="1" t="s">
        <v>17</v>
      </c>
      <c r="D10" s="1" t="s">
        <v>17</v>
      </c>
      <c r="E10" s="1">
        <v>27425</v>
      </c>
      <c r="F10" s="2"/>
    </row>
    <row r="11" spans="1:6" ht="22.5" customHeight="1">
      <c r="A11" s="1">
        <v>21</v>
      </c>
      <c r="B11" s="1" t="s">
        <v>17</v>
      </c>
      <c r="C11" s="1" t="s">
        <v>17</v>
      </c>
      <c r="D11" s="1" t="s">
        <v>17</v>
      </c>
      <c r="E11" s="1">
        <v>20154</v>
      </c>
      <c r="F11" s="2"/>
    </row>
    <row r="12" spans="1:6" ht="22.5" customHeight="1">
      <c r="A12" s="1">
        <v>22</v>
      </c>
      <c r="B12" s="1" t="s">
        <v>17</v>
      </c>
      <c r="C12" s="1" t="s">
        <v>17</v>
      </c>
      <c r="D12" s="1" t="s">
        <v>17</v>
      </c>
      <c r="E12" s="1">
        <v>20008</v>
      </c>
      <c r="F12" s="2"/>
    </row>
    <row r="13" spans="1:6" ht="22.5" customHeight="1">
      <c r="A13" s="1">
        <v>23</v>
      </c>
      <c r="B13" s="1" t="s">
        <v>17</v>
      </c>
      <c r="C13" s="1" t="s">
        <v>17</v>
      </c>
      <c r="D13" s="1" t="s">
        <v>17</v>
      </c>
      <c r="E13" s="1">
        <v>19833</v>
      </c>
      <c r="F13" s="2"/>
    </row>
    <row r="14" spans="1:6" ht="22.5" customHeight="1">
      <c r="A14" s="1">
        <v>24</v>
      </c>
      <c r="B14" s="1" t="s">
        <v>17</v>
      </c>
      <c r="C14" s="1" t="s">
        <v>17</v>
      </c>
      <c r="D14" s="1" t="s">
        <v>17</v>
      </c>
      <c r="E14" s="1">
        <v>19506</v>
      </c>
      <c r="F14" s="2"/>
    </row>
    <row r="15" spans="1:6" ht="22.5" customHeight="1">
      <c r="A15" s="1">
        <v>25</v>
      </c>
      <c r="B15" s="1" t="s">
        <v>17</v>
      </c>
      <c r="C15" s="1" t="s">
        <v>17</v>
      </c>
      <c r="D15" s="1" t="s">
        <v>17</v>
      </c>
      <c r="E15" s="1">
        <v>13665</v>
      </c>
      <c r="F15" s="2"/>
    </row>
    <row r="16" spans="1:6" ht="22.5" customHeight="1">
      <c r="A16" s="1">
        <v>26</v>
      </c>
      <c r="B16" s="1" t="s">
        <v>17</v>
      </c>
      <c r="C16" s="1" t="s">
        <v>17</v>
      </c>
      <c r="D16" s="1" t="s">
        <v>17</v>
      </c>
      <c r="E16" s="1">
        <v>18525</v>
      </c>
      <c r="F16" s="2"/>
    </row>
    <row r="17" spans="1:6" ht="22.5" customHeight="1">
      <c r="A17" s="1">
        <v>27</v>
      </c>
      <c r="B17" s="1" t="s">
        <v>17</v>
      </c>
      <c r="C17" s="1" t="s">
        <v>17</v>
      </c>
      <c r="D17" s="1" t="s">
        <v>17</v>
      </c>
      <c r="E17" s="1">
        <v>14016</v>
      </c>
      <c r="F17" s="2"/>
    </row>
    <row r="18" spans="1:6" ht="22.5" customHeight="1">
      <c r="A18" s="1">
        <v>28</v>
      </c>
      <c r="B18" s="1" t="s">
        <v>17</v>
      </c>
      <c r="C18" s="1" t="s">
        <v>17</v>
      </c>
      <c r="D18" s="1" t="s">
        <v>17</v>
      </c>
      <c r="E18" s="1">
        <v>30963</v>
      </c>
      <c r="F18" s="2"/>
    </row>
    <row r="19" spans="1:6" ht="22.5" customHeight="1">
      <c r="A19" s="1">
        <v>29</v>
      </c>
      <c r="B19" s="1" t="s">
        <v>17</v>
      </c>
      <c r="C19" s="1" t="s">
        <v>17</v>
      </c>
      <c r="D19" s="1" t="s">
        <v>17</v>
      </c>
      <c r="E19" s="1">
        <v>32405</v>
      </c>
      <c r="F19" s="2"/>
    </row>
    <row r="20" spans="1:6" ht="22.5" customHeight="1">
      <c r="A20" s="1">
        <v>31</v>
      </c>
      <c r="B20" s="1" t="s">
        <v>17</v>
      </c>
      <c r="C20" s="1" t="s">
        <v>17</v>
      </c>
      <c r="D20" s="1" t="s">
        <v>17</v>
      </c>
      <c r="E20" s="1">
        <v>21302</v>
      </c>
      <c r="F20" s="2"/>
    </row>
    <row r="21" spans="1:6" ht="22.5" customHeight="1">
      <c r="A21" s="1">
        <v>32</v>
      </c>
      <c r="B21" s="1" t="s">
        <v>17</v>
      </c>
      <c r="C21" s="1" t="s">
        <v>17</v>
      </c>
      <c r="D21" s="1" t="s">
        <v>17</v>
      </c>
      <c r="E21" s="1">
        <v>14303</v>
      </c>
      <c r="F21" s="2"/>
    </row>
    <row r="22" spans="1:6" ht="22.5" customHeight="1">
      <c r="A22" s="1">
        <v>33</v>
      </c>
      <c r="B22" s="1" t="s">
        <v>17</v>
      </c>
      <c r="C22" s="1" t="s">
        <v>17</v>
      </c>
      <c r="D22" s="1" t="s">
        <v>17</v>
      </c>
      <c r="E22" s="1">
        <v>18198</v>
      </c>
      <c r="F22" s="2"/>
    </row>
    <row r="23" spans="1:6" ht="22.5" customHeight="1">
      <c r="A23" s="1">
        <v>34</v>
      </c>
      <c r="B23" s="1" t="s">
        <v>17</v>
      </c>
      <c r="C23" s="1" t="s">
        <v>17</v>
      </c>
      <c r="D23" s="1" t="s">
        <v>17</v>
      </c>
      <c r="E23" s="1">
        <v>12381</v>
      </c>
      <c r="F23" s="2"/>
    </row>
    <row r="24" spans="1:6" ht="22.5" customHeight="1">
      <c r="A24" s="1">
        <v>35</v>
      </c>
      <c r="B24" s="1" t="s">
        <v>17</v>
      </c>
      <c r="C24" s="1" t="s">
        <v>17</v>
      </c>
      <c r="D24" s="1" t="s">
        <v>17</v>
      </c>
      <c r="E24" s="1">
        <v>25475</v>
      </c>
      <c r="F24" s="2"/>
    </row>
    <row r="25" spans="1:6" ht="22.5" customHeight="1">
      <c r="A25" s="1">
        <v>36</v>
      </c>
      <c r="B25" s="1" t="s">
        <v>17</v>
      </c>
      <c r="C25" s="1" t="s">
        <v>17</v>
      </c>
      <c r="D25" s="1" t="s">
        <v>17</v>
      </c>
      <c r="E25" s="1">
        <v>13795</v>
      </c>
      <c r="F25" s="2"/>
    </row>
    <row r="26" spans="1:6" ht="22.5" customHeight="1">
      <c r="A26" s="1">
        <v>37</v>
      </c>
      <c r="B26" s="1" t="s">
        <v>17</v>
      </c>
      <c r="C26" s="1" t="s">
        <v>17</v>
      </c>
      <c r="D26" s="1" t="s">
        <v>17</v>
      </c>
      <c r="E26" s="1">
        <v>23003</v>
      </c>
      <c r="F26" s="2"/>
    </row>
    <row r="27" spans="1:6" ht="22.5" customHeight="1">
      <c r="A27" s="1">
        <v>38</v>
      </c>
      <c r="B27" s="1" t="s">
        <v>17</v>
      </c>
      <c r="C27" s="1" t="s">
        <v>17</v>
      </c>
      <c r="D27" s="1" t="s">
        <v>17</v>
      </c>
      <c r="E27" s="1">
        <v>8730</v>
      </c>
      <c r="F27" s="2"/>
    </row>
    <row r="28" spans="1:6" ht="22.5" customHeight="1">
      <c r="A28" s="1">
        <v>39</v>
      </c>
      <c r="B28" s="1" t="s">
        <v>17</v>
      </c>
      <c r="C28" s="1" t="s">
        <v>17</v>
      </c>
      <c r="D28" s="1" t="s">
        <v>17</v>
      </c>
      <c r="E28" s="1">
        <v>14950</v>
      </c>
      <c r="F28" s="2"/>
    </row>
    <row r="29" spans="1:6" ht="22.5" customHeight="1">
      <c r="A29" s="1">
        <v>41</v>
      </c>
      <c r="B29" s="1" t="s">
        <v>17</v>
      </c>
      <c r="C29" s="1" t="s">
        <v>17</v>
      </c>
      <c r="D29" s="1" t="s">
        <v>17</v>
      </c>
      <c r="E29" s="1">
        <v>12413</v>
      </c>
      <c r="F29" s="2"/>
    </row>
    <row r="30" spans="1:6" ht="22.5" customHeight="1">
      <c r="A30" s="1">
        <v>42</v>
      </c>
      <c r="B30" s="1" t="s">
        <v>17</v>
      </c>
      <c r="C30" s="1" t="s">
        <v>17</v>
      </c>
      <c r="D30" s="1" t="s">
        <v>17</v>
      </c>
      <c r="E30" s="1">
        <v>13566</v>
      </c>
      <c r="F30" s="2"/>
    </row>
    <row r="31" spans="1:6" ht="22.5" customHeight="1">
      <c r="A31" s="1">
        <v>43</v>
      </c>
      <c r="B31" s="1" t="s">
        <v>17</v>
      </c>
      <c r="C31" s="1" t="s">
        <v>17</v>
      </c>
      <c r="D31" s="1" t="s">
        <v>17</v>
      </c>
      <c r="E31" s="1">
        <v>7910</v>
      </c>
      <c r="F31" s="2"/>
    </row>
    <row r="32" spans="1:6" ht="22.5" customHeight="1">
      <c r="A32" s="1">
        <v>44</v>
      </c>
      <c r="B32" s="1" t="s">
        <v>17</v>
      </c>
      <c r="C32" s="1" t="s">
        <v>17</v>
      </c>
      <c r="D32" s="1" t="s">
        <v>17</v>
      </c>
      <c r="E32" s="1">
        <v>9685</v>
      </c>
      <c r="F32" s="2"/>
    </row>
    <row r="33" spans="1:6" ht="22.5" customHeight="1">
      <c r="A33" s="1">
        <v>45</v>
      </c>
      <c r="B33" s="1" t="s">
        <v>17</v>
      </c>
      <c r="C33" s="1" t="s">
        <v>17</v>
      </c>
      <c r="D33" s="1" t="s">
        <v>17</v>
      </c>
      <c r="E33" s="1">
        <v>12162</v>
      </c>
      <c r="F33" s="2"/>
    </row>
    <row r="34" spans="1:6" ht="22.5" customHeight="1">
      <c r="A34" s="1">
        <v>46</v>
      </c>
      <c r="B34" s="1" t="s">
        <v>17</v>
      </c>
      <c r="C34" s="1" t="s">
        <v>17</v>
      </c>
      <c r="D34" s="1" t="s">
        <v>17</v>
      </c>
      <c r="E34" s="1">
        <v>17379</v>
      </c>
      <c r="F34" s="2"/>
    </row>
    <row r="35" spans="1:6" ht="22.5" customHeight="1">
      <c r="A35" s="1">
        <v>47</v>
      </c>
      <c r="B35" s="1" t="s">
        <v>17</v>
      </c>
      <c r="C35" s="1" t="s">
        <v>17</v>
      </c>
      <c r="D35" s="1" t="s">
        <v>17</v>
      </c>
      <c r="E35" s="1">
        <v>22699</v>
      </c>
      <c r="F35" s="2"/>
    </row>
    <row r="36" spans="1:6" ht="22.5" customHeight="1">
      <c r="A36" s="1">
        <v>48</v>
      </c>
      <c r="B36" s="1" t="s">
        <v>17</v>
      </c>
      <c r="C36" s="1" t="s">
        <v>17</v>
      </c>
      <c r="D36" s="1" t="s">
        <v>17</v>
      </c>
      <c r="E36" s="1">
        <v>18847</v>
      </c>
      <c r="F36" s="2"/>
    </row>
    <row r="37" spans="1:6" ht="22.5" customHeight="1">
      <c r="A37" s="1">
        <v>49</v>
      </c>
      <c r="B37" s="1" t="s">
        <v>17</v>
      </c>
      <c r="C37" s="1" t="s">
        <v>17</v>
      </c>
      <c r="D37" s="1" t="s">
        <v>17</v>
      </c>
      <c r="E37" s="1">
        <v>22589</v>
      </c>
      <c r="F37" s="2"/>
    </row>
    <row r="38" spans="1:6" ht="22.5" customHeight="1">
      <c r="A38" s="1">
        <v>51</v>
      </c>
      <c r="B38" s="1" t="s">
        <v>17</v>
      </c>
      <c r="C38" s="1" t="s">
        <v>17</v>
      </c>
      <c r="D38" s="1" t="s">
        <v>17</v>
      </c>
      <c r="E38" s="1">
        <v>14496</v>
      </c>
      <c r="F38" s="2"/>
    </row>
    <row r="39" spans="1:6" ht="22.5" customHeight="1">
      <c r="A39" s="1">
        <v>52</v>
      </c>
      <c r="B39" s="1" t="s">
        <v>17</v>
      </c>
      <c r="C39" s="1" t="s">
        <v>17</v>
      </c>
      <c r="D39" s="1" t="s">
        <v>17</v>
      </c>
      <c r="E39" s="1">
        <v>17386</v>
      </c>
      <c r="F39" s="2"/>
    </row>
    <row r="40" spans="1:6" ht="22.5" customHeight="1">
      <c r="A40" s="1">
        <v>53</v>
      </c>
      <c r="B40" s="1" t="s">
        <v>17</v>
      </c>
      <c r="C40" s="1" t="s">
        <v>17</v>
      </c>
      <c r="D40" s="1" t="s">
        <v>17</v>
      </c>
      <c r="E40" s="1">
        <v>8981</v>
      </c>
      <c r="F40" s="2"/>
    </row>
    <row r="41" spans="1:6" ht="22.5" customHeight="1">
      <c r="A41" s="1">
        <v>54</v>
      </c>
      <c r="B41" s="1" t="s">
        <v>17</v>
      </c>
      <c r="C41" s="1" t="s">
        <v>17</v>
      </c>
      <c r="D41" s="1" t="s">
        <v>17</v>
      </c>
      <c r="E41" s="1">
        <v>7503</v>
      </c>
      <c r="F41" s="2"/>
    </row>
    <row r="42" spans="1:6" ht="22.5" customHeight="1">
      <c r="A42" s="1">
        <v>55</v>
      </c>
      <c r="B42" s="1" t="s">
        <v>17</v>
      </c>
      <c r="C42" s="1" t="s">
        <v>17</v>
      </c>
      <c r="D42" s="1" t="s">
        <v>17</v>
      </c>
      <c r="E42" s="1">
        <v>18372</v>
      </c>
      <c r="F42" s="2"/>
    </row>
    <row r="43" spans="1:6" ht="22.5" customHeight="1">
      <c r="A43" s="1">
        <v>56</v>
      </c>
      <c r="B43" s="1" t="s">
        <v>17</v>
      </c>
      <c r="C43" s="1" t="s">
        <v>17</v>
      </c>
      <c r="D43" s="1" t="s">
        <v>17</v>
      </c>
      <c r="E43" s="1">
        <v>14414</v>
      </c>
      <c r="F43" s="2"/>
    </row>
    <row r="44" spans="1:6" ht="22.5" customHeight="1">
      <c r="A44" s="1">
        <v>57</v>
      </c>
      <c r="B44" s="1" t="s">
        <v>17</v>
      </c>
      <c r="C44" s="1" t="s">
        <v>17</v>
      </c>
      <c r="D44" s="1" t="s">
        <v>17</v>
      </c>
      <c r="E44" s="1">
        <v>26269</v>
      </c>
      <c r="F44" s="2"/>
    </row>
    <row r="45" spans="1:6" ht="22.5" customHeight="1">
      <c r="A45" s="1">
        <v>58</v>
      </c>
      <c r="B45" s="1" t="s">
        <v>17</v>
      </c>
      <c r="C45" s="1" t="s">
        <v>17</v>
      </c>
      <c r="D45" s="1" t="s">
        <v>17</v>
      </c>
      <c r="E45" s="1">
        <v>10236</v>
      </c>
      <c r="F45" s="2"/>
    </row>
    <row r="46" spans="1:6" ht="22.5" customHeight="1">
      <c r="A46" s="1">
        <v>59</v>
      </c>
      <c r="B46" s="1" t="s">
        <v>17</v>
      </c>
      <c r="C46" s="1" t="s">
        <v>17</v>
      </c>
      <c r="D46" s="1" t="s">
        <v>17</v>
      </c>
      <c r="E46" s="1">
        <v>36429</v>
      </c>
      <c r="F46" s="2"/>
    </row>
    <row r="47" spans="1:6" ht="22.5" customHeight="1">
      <c r="A47" s="1">
        <v>61</v>
      </c>
      <c r="B47" s="1" t="s">
        <v>17</v>
      </c>
      <c r="C47" s="1" t="s">
        <v>17</v>
      </c>
      <c r="D47" s="1" t="s">
        <v>17</v>
      </c>
      <c r="E47" s="1">
        <v>19889</v>
      </c>
      <c r="F47" s="2"/>
    </row>
    <row r="48" spans="1:6" ht="22.5" customHeight="1">
      <c r="A48" s="1">
        <v>62</v>
      </c>
      <c r="B48" s="1" t="s">
        <v>17</v>
      </c>
      <c r="C48" s="1" t="s">
        <v>17</v>
      </c>
      <c r="D48" s="1" t="s">
        <v>17</v>
      </c>
      <c r="E48" s="1">
        <v>43175</v>
      </c>
      <c r="F48" s="2"/>
    </row>
    <row r="49" spans="1:6" ht="22.5" customHeight="1">
      <c r="A49" s="1">
        <v>63</v>
      </c>
      <c r="B49" s="1" t="s">
        <v>17</v>
      </c>
      <c r="C49" s="1" t="s">
        <v>17</v>
      </c>
      <c r="D49" s="1" t="s">
        <v>17</v>
      </c>
      <c r="E49" s="1">
        <v>14716</v>
      </c>
      <c r="F49" s="2"/>
    </row>
    <row r="50" spans="1:6" ht="22.5" customHeight="1">
      <c r="A50" s="1">
        <v>64</v>
      </c>
      <c r="B50" s="1" t="s">
        <v>17</v>
      </c>
      <c r="C50" s="1" t="s">
        <v>17</v>
      </c>
      <c r="D50" s="1" t="s">
        <v>17</v>
      </c>
      <c r="E50" s="1">
        <v>15401</v>
      </c>
      <c r="F50" s="2"/>
    </row>
    <row r="51" spans="1:6" ht="22.5" customHeight="1">
      <c r="A51" s="1">
        <v>65</v>
      </c>
      <c r="B51" s="1" t="s">
        <v>17</v>
      </c>
      <c r="C51" s="1" t="s">
        <v>17</v>
      </c>
      <c r="D51" s="1" t="s">
        <v>17</v>
      </c>
      <c r="E51" s="1">
        <v>13894</v>
      </c>
      <c r="F51" s="2"/>
    </row>
    <row r="52" spans="1:6" ht="22.5" customHeight="1">
      <c r="A52" s="1">
        <v>66</v>
      </c>
      <c r="B52" s="1" t="s">
        <v>17</v>
      </c>
      <c r="C52" s="1" t="s">
        <v>17</v>
      </c>
      <c r="D52" s="1" t="s">
        <v>17</v>
      </c>
      <c r="E52" s="1">
        <v>29700</v>
      </c>
      <c r="F52" s="2"/>
    </row>
    <row r="53" spans="1:6" ht="22.5" customHeight="1">
      <c r="A53" s="1">
        <v>67</v>
      </c>
      <c r="B53" s="1" t="s">
        <v>17</v>
      </c>
      <c r="C53" s="1" t="s">
        <v>17</v>
      </c>
      <c r="D53" s="1" t="s">
        <v>17</v>
      </c>
      <c r="E53" s="1">
        <v>27853</v>
      </c>
      <c r="F53" s="2"/>
    </row>
    <row r="54" spans="1:6" ht="22.5" customHeight="1">
      <c r="A54" s="1">
        <v>68</v>
      </c>
      <c r="B54" s="1" t="s">
        <v>17</v>
      </c>
      <c r="C54" s="1" t="s">
        <v>17</v>
      </c>
      <c r="D54" s="1" t="s">
        <v>17</v>
      </c>
      <c r="E54" s="1">
        <v>16672</v>
      </c>
      <c r="F54" s="2"/>
    </row>
    <row r="55" spans="1:6" ht="22.5" customHeight="1">
      <c r="A55" s="1">
        <v>69</v>
      </c>
      <c r="B55" s="1" t="s">
        <v>17</v>
      </c>
      <c r="C55" s="1" t="s">
        <v>17</v>
      </c>
      <c r="D55" s="1" t="s">
        <v>17</v>
      </c>
      <c r="E55" s="1">
        <v>27866</v>
      </c>
      <c r="F55" s="2"/>
    </row>
    <row r="56" spans="1:6" ht="22.5" customHeight="1">
      <c r="A56" s="1">
        <v>71</v>
      </c>
      <c r="B56" s="1" t="s">
        <v>17</v>
      </c>
      <c r="C56" s="1" t="s">
        <v>17</v>
      </c>
      <c r="D56" s="1" t="s">
        <v>17</v>
      </c>
      <c r="E56" s="1">
        <v>11186</v>
      </c>
      <c r="F56" s="2"/>
    </row>
    <row r="57" spans="1:6" ht="22.5" customHeight="1">
      <c r="A57" s="1">
        <v>72</v>
      </c>
      <c r="B57" s="1" t="s">
        <v>17</v>
      </c>
      <c r="C57" s="1" t="s">
        <v>17</v>
      </c>
      <c r="D57" s="1" t="s">
        <v>17</v>
      </c>
      <c r="E57" s="1">
        <v>13184</v>
      </c>
      <c r="F57" s="2"/>
    </row>
    <row r="58" spans="1:6" ht="22.5" customHeight="1">
      <c r="A58" s="1">
        <v>73</v>
      </c>
      <c r="B58" s="1" t="s">
        <v>17</v>
      </c>
      <c r="C58" s="1" t="s">
        <v>17</v>
      </c>
      <c r="D58" s="1" t="s">
        <v>17</v>
      </c>
      <c r="E58" s="1">
        <v>17180</v>
      </c>
      <c r="F58" s="2"/>
    </row>
    <row r="59" spans="1:6" ht="22.5" customHeight="1">
      <c r="A59" s="1">
        <v>74</v>
      </c>
      <c r="B59" s="1" t="s">
        <v>17</v>
      </c>
      <c r="C59" s="1" t="s">
        <v>17</v>
      </c>
      <c r="D59" s="1" t="s">
        <v>17</v>
      </c>
      <c r="E59" s="1">
        <v>22500</v>
      </c>
      <c r="F59" s="2"/>
    </row>
    <row r="60" spans="1:6" ht="22.5" customHeight="1">
      <c r="A60" s="1">
        <v>75</v>
      </c>
      <c r="B60" s="1" t="s">
        <v>17</v>
      </c>
      <c r="C60" s="1" t="s">
        <v>17</v>
      </c>
      <c r="D60" s="1" t="s">
        <v>17</v>
      </c>
      <c r="E60" s="1">
        <v>14612</v>
      </c>
      <c r="F60" s="2"/>
    </row>
    <row r="61" spans="1:6" ht="22.5" customHeight="1">
      <c r="A61" s="1">
        <v>76</v>
      </c>
      <c r="B61" s="1" t="s">
        <v>17</v>
      </c>
      <c r="C61" s="1" t="s">
        <v>17</v>
      </c>
      <c r="D61" s="1" t="s">
        <v>17</v>
      </c>
      <c r="E61" s="1">
        <v>14738</v>
      </c>
      <c r="F61" s="2"/>
    </row>
    <row r="62" spans="1:6" ht="22.5" customHeight="1">
      <c r="A62" s="1">
        <v>77</v>
      </c>
      <c r="B62" s="1" t="s">
        <v>17</v>
      </c>
      <c r="C62" s="1" t="s">
        <v>17</v>
      </c>
      <c r="D62" s="1" t="s">
        <v>17</v>
      </c>
      <c r="E62" s="1">
        <v>15684</v>
      </c>
      <c r="F62" s="2"/>
    </row>
    <row r="63" spans="1:6" ht="22.5" customHeight="1">
      <c r="A63" s="1">
        <v>78</v>
      </c>
      <c r="B63" s="1" t="s">
        <v>17</v>
      </c>
      <c r="C63" s="1" t="s">
        <v>17</v>
      </c>
      <c r="D63" s="1" t="s">
        <v>17</v>
      </c>
      <c r="E63" s="1">
        <v>10256</v>
      </c>
      <c r="F63" s="2"/>
    </row>
    <row r="64" spans="1:6" ht="22.5" customHeight="1">
      <c r="A64" s="1">
        <v>79</v>
      </c>
      <c r="B64" s="1" t="s">
        <v>17</v>
      </c>
      <c r="C64" s="1" t="s">
        <v>17</v>
      </c>
      <c r="D64" s="1" t="s">
        <v>17</v>
      </c>
      <c r="E64" s="1">
        <v>5436</v>
      </c>
      <c r="F64" s="2"/>
    </row>
    <row r="65" spans="1:6" ht="22.5" customHeight="1">
      <c r="A65" s="1">
        <v>81</v>
      </c>
      <c r="B65" s="1" t="s">
        <v>17</v>
      </c>
      <c r="C65" s="1" t="s">
        <v>17</v>
      </c>
      <c r="D65" s="1" t="s">
        <v>17</v>
      </c>
      <c r="E65" s="1">
        <v>16692</v>
      </c>
      <c r="F65" s="2"/>
    </row>
    <row r="66" spans="1:6" ht="22.5" customHeight="1">
      <c r="A66" s="1">
        <v>82</v>
      </c>
      <c r="B66" s="1" t="s">
        <v>17</v>
      </c>
      <c r="C66" s="1" t="s">
        <v>17</v>
      </c>
      <c r="D66" s="1" t="s">
        <v>17</v>
      </c>
      <c r="E66" s="1">
        <v>23725</v>
      </c>
      <c r="F66" s="2"/>
    </row>
    <row r="67" spans="1:6" ht="22.5" customHeight="1">
      <c r="A67" s="1">
        <v>83</v>
      </c>
      <c r="B67" s="1" t="s">
        <v>17</v>
      </c>
      <c r="C67" s="1" t="s">
        <v>17</v>
      </c>
      <c r="D67" s="1" t="s">
        <v>17</v>
      </c>
      <c r="E67" s="1">
        <v>28204</v>
      </c>
      <c r="F67" s="2"/>
    </row>
    <row r="68" spans="1:6" ht="22.5" customHeight="1">
      <c r="A68" s="1">
        <v>84</v>
      </c>
      <c r="B68" s="1" t="s">
        <v>17</v>
      </c>
      <c r="C68" s="1" t="s">
        <v>17</v>
      </c>
      <c r="D68" s="1" t="s">
        <v>17</v>
      </c>
      <c r="E68" s="1">
        <v>31748</v>
      </c>
      <c r="F68" s="2"/>
    </row>
    <row r="69" spans="1:6" ht="22.5" customHeight="1">
      <c r="A69" s="1">
        <v>85</v>
      </c>
      <c r="B69" s="1" t="s">
        <v>17</v>
      </c>
      <c r="C69" s="1" t="s">
        <v>17</v>
      </c>
      <c r="D69" s="1" t="s">
        <v>17</v>
      </c>
      <c r="E69" s="1">
        <v>23107</v>
      </c>
      <c r="F69" s="2"/>
    </row>
    <row r="70" spans="1:6" ht="22.5" customHeight="1">
      <c r="A70" s="1">
        <v>86</v>
      </c>
      <c r="B70" s="1" t="s">
        <v>17</v>
      </c>
      <c r="C70" s="1" t="s">
        <v>17</v>
      </c>
      <c r="D70" s="1" t="s">
        <v>17</v>
      </c>
      <c r="E70" s="1">
        <v>12950</v>
      </c>
      <c r="F70" s="2"/>
    </row>
    <row r="71" spans="1:6" ht="22.5" customHeight="1">
      <c r="A71" s="1">
        <v>87</v>
      </c>
      <c r="B71" s="1" t="s">
        <v>17</v>
      </c>
      <c r="C71" s="1" t="s">
        <v>17</v>
      </c>
      <c r="D71" s="1" t="s">
        <v>17</v>
      </c>
      <c r="E71" s="1">
        <v>25746</v>
      </c>
      <c r="F71" s="2"/>
    </row>
    <row r="72" spans="1:6" ht="22.5" customHeight="1">
      <c r="A72" s="1">
        <v>88</v>
      </c>
      <c r="B72" s="1" t="s">
        <v>17</v>
      </c>
      <c r="C72" s="1" t="s">
        <v>17</v>
      </c>
      <c r="D72" s="1" t="s">
        <v>17</v>
      </c>
      <c r="E72" s="1">
        <v>18986</v>
      </c>
      <c r="F72" s="2"/>
    </row>
    <row r="73" spans="1:6" ht="22.5" customHeight="1">
      <c r="A73" s="1">
        <v>89</v>
      </c>
      <c r="B73" s="1" t="s">
        <v>17</v>
      </c>
      <c r="C73" s="1" t="s">
        <v>17</v>
      </c>
      <c r="D73" s="1" t="s">
        <v>17</v>
      </c>
      <c r="E73" s="1">
        <v>26602</v>
      </c>
      <c r="F73" s="2"/>
    </row>
    <row r="74" spans="1:6" ht="22.5" customHeight="1">
      <c r="A74" s="1">
        <v>91</v>
      </c>
      <c r="B74" s="1" t="s">
        <v>17</v>
      </c>
      <c r="C74" s="1" t="s">
        <v>17</v>
      </c>
      <c r="D74" s="1" t="s">
        <v>17</v>
      </c>
      <c r="E74" s="1">
        <v>27241</v>
      </c>
      <c r="F74" s="2"/>
    </row>
    <row r="75" spans="1:6" ht="22.5" customHeight="1">
      <c r="A75" s="1">
        <v>92</v>
      </c>
      <c r="B75" s="1" t="s">
        <v>17</v>
      </c>
      <c r="C75" s="1" t="s">
        <v>17</v>
      </c>
      <c r="D75" s="1" t="s">
        <v>17</v>
      </c>
      <c r="E75" s="1">
        <v>34886</v>
      </c>
      <c r="F75" s="2"/>
    </row>
    <row r="76" spans="1:6" ht="22.5" customHeight="1">
      <c r="A76" s="1">
        <v>93</v>
      </c>
      <c r="B76" s="1" t="s">
        <v>17</v>
      </c>
      <c r="C76" s="1" t="s">
        <v>17</v>
      </c>
      <c r="D76" s="1" t="s">
        <v>17</v>
      </c>
      <c r="E76" s="1">
        <v>31356</v>
      </c>
      <c r="F76" s="2"/>
    </row>
    <row r="77" spans="1:6" ht="22.5" customHeight="1">
      <c r="A77" s="1">
        <v>94</v>
      </c>
      <c r="B77" s="1" t="s">
        <v>17</v>
      </c>
      <c r="C77" s="1" t="s">
        <v>17</v>
      </c>
      <c r="D77" s="1" t="s">
        <v>17</v>
      </c>
      <c r="E77" s="1">
        <v>15301</v>
      </c>
      <c r="F77" s="2"/>
    </row>
    <row r="78" spans="1:6" ht="22.5" customHeight="1">
      <c r="A78" s="1">
        <v>95</v>
      </c>
      <c r="B78" s="1" t="s">
        <v>17</v>
      </c>
      <c r="C78" s="1" t="s">
        <v>17</v>
      </c>
      <c r="D78" s="1" t="s">
        <v>17</v>
      </c>
      <c r="E78" s="1">
        <v>38912</v>
      </c>
      <c r="F78" s="2"/>
    </row>
    <row r="79" spans="1:6" ht="22.5" customHeight="1">
      <c r="A79" s="1">
        <v>96</v>
      </c>
      <c r="B79" s="1" t="s">
        <v>17</v>
      </c>
      <c r="C79" s="1" t="s">
        <v>17</v>
      </c>
      <c r="D79" s="1" t="s">
        <v>17</v>
      </c>
      <c r="E79" s="1">
        <v>28084</v>
      </c>
      <c r="F79" s="2"/>
    </row>
    <row r="80" spans="1:6" ht="22.5" customHeight="1">
      <c r="A80" s="1">
        <v>97</v>
      </c>
      <c r="B80" s="1" t="s">
        <v>17</v>
      </c>
      <c r="C80" s="1" t="s">
        <v>17</v>
      </c>
      <c r="D80" s="1" t="s">
        <v>17</v>
      </c>
      <c r="E80" s="1">
        <v>14994</v>
      </c>
      <c r="F80" s="2"/>
    </row>
    <row r="81" spans="1:6" ht="22.5" customHeight="1">
      <c r="A81" s="1">
        <v>98</v>
      </c>
      <c r="B81" s="1" t="s">
        <v>17</v>
      </c>
      <c r="C81" s="1" t="s">
        <v>17</v>
      </c>
      <c r="D81" s="1" t="s">
        <v>17</v>
      </c>
      <c r="E81" s="1">
        <v>30674</v>
      </c>
      <c r="F81" s="2"/>
    </row>
    <row r="82" spans="1:6" ht="22.5" customHeight="1">
      <c r="A82" s="1">
        <v>99</v>
      </c>
      <c r="B82" s="1" t="s">
        <v>17</v>
      </c>
      <c r="C82" s="1" t="s">
        <v>17</v>
      </c>
      <c r="D82" s="1" t="s">
        <v>17</v>
      </c>
      <c r="E82" s="1">
        <v>43000</v>
      </c>
      <c r="F82" s="2"/>
    </row>
  </sheetData>
  <phoneticPr fontId="1"/>
  <dataValidations count="3">
    <dataValidation type="list" allowBlank="1" showInputMessage="1" showErrorMessage="1" sqref="D83:D1048576" xr:uid="{27AFD600-38B2-4BE5-8294-46D6DA7C11A4}">
      <formula1>"0.1mm, 0.01mm, 未加工"</formula1>
    </dataValidation>
    <dataValidation type="list" allowBlank="1" showInputMessage="1" showErrorMessage="1" sqref="C83:C1048576" xr:uid="{253A79C2-AFB6-4369-9202-24161A964D66}">
      <formula1>"ライン, クロス, ドット, 未加工"</formula1>
    </dataValidation>
    <dataValidation type="list" allowBlank="1" showInputMessage="1" showErrorMessage="1" sqref="B83:B1048576" xr:uid="{273D05CE-D606-470C-9001-55FE2198FAA3}">
      <formula1>"全塗りつぶし, 枠あり, 枠無し, 枠あり(内側0.1), 枠無し(内側0.15), 枠あり(内側0.15), カッパー, 未加工"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All</vt:lpstr>
      <vt:lpstr>Board-1</vt:lpstr>
      <vt:lpstr>Board-2</vt:lpstr>
      <vt:lpstr>Board-3</vt:lpstr>
      <vt:lpstr>Board-4</vt:lpstr>
      <vt:lpstr>Board-5</vt:lpstr>
      <vt:lpstr>Board-6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大谷將壽</dc:creator>
  <cp:lastModifiedBy>將壽 大谷</cp:lastModifiedBy>
  <cp:lastPrinted>2025-10-27T06:01:58Z</cp:lastPrinted>
  <dcterms:created xsi:type="dcterms:W3CDTF">2015-06-05T18:19:34Z</dcterms:created>
  <dcterms:modified xsi:type="dcterms:W3CDTF">2026-07-07T01:11:59Z</dcterms:modified>
</cp:coreProperties>
</file>